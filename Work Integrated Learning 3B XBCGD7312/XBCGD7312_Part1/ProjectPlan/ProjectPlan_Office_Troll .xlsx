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9b81bf511190af/Desktop/"/>
    </mc:Choice>
  </mc:AlternateContent>
  <xr:revisionPtr revIDLastSave="17" documentId="14_{B3D37731-52EA-46E2-8882-D549828F4368}" xr6:coauthVersionLast="47" xr6:coauthVersionMax="47" xr10:uidLastSave="{8BD793DE-0AFC-4D13-8980-A94695DB861B}"/>
  <bookViews>
    <workbookView xWindow="-108" yWindow="-108" windowWidth="23256" windowHeight="12456" activeTab="3" xr2:uid="{00000000-000D-0000-FFFF-FFFF00000000}"/>
  </bookViews>
  <sheets>
    <sheet name="How to Use" sheetId="1" r:id="rId1"/>
    <sheet name="Project Setup" sheetId="2" r:id="rId2"/>
    <sheet name="Dashboard" sheetId="3" r:id="rId3"/>
    <sheet name="Master Schedule" sheetId="4" r:id="rId4"/>
    <sheet name="Task Tracker" sheetId="5" r:id="rId5"/>
    <sheet name="Deliverables" sheetId="6" r:id="rId6"/>
    <sheet name="Team &amp; RACI" sheetId="7" r:id="rId7"/>
    <sheet name="Design Doc Tracker" sheetId="8" r:id="rId8"/>
    <sheet name="Asset Pipeline" sheetId="9" r:id="rId9"/>
    <sheet name="Playtest Log" sheetId="10" r:id="rId10"/>
    <sheet name="Risks &amp; Issues" sheetId="11" r:id="rId11"/>
    <sheet name="Meeting Notes" sheetId="12" r:id="rId12"/>
  </sheets>
  <definedNames>
    <definedName name="_xlnm._FilterDatabase" localSheetId="8" hidden="1">'Asset Pipeline'!$A$3:$L$8</definedName>
    <definedName name="_xlnm._FilterDatabase" localSheetId="5" hidden="1">Deliverables!$A$3:$M$11</definedName>
    <definedName name="_xlnm._FilterDatabase" localSheetId="3" hidden="1">'Master Schedule'!$A$9:$AG$23</definedName>
    <definedName name="_xlnm._FilterDatabase" localSheetId="4" hidden="1">'Task Tracker'!$A$3:$R$16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F5" i="11"/>
  <c r="F4" i="11"/>
  <c r="J11" i="6"/>
  <c r="J8" i="6"/>
  <c r="J7" i="6"/>
  <c r="J5" i="6"/>
  <c r="J4" i="6"/>
  <c r="M16" i="5"/>
  <c r="M15" i="5"/>
  <c r="M14" i="5"/>
  <c r="M13" i="5"/>
  <c r="M12" i="5"/>
  <c r="M11" i="5"/>
  <c r="M10" i="5"/>
  <c r="M9" i="5"/>
  <c r="M8" i="5"/>
  <c r="M7" i="5"/>
  <c r="M6" i="5"/>
  <c r="M5" i="5"/>
  <c r="M4" i="5"/>
  <c r="R25" i="4"/>
  <c r="Q25" i="4"/>
  <c r="F25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D11" i="4"/>
  <c r="D12" i="4" s="1"/>
  <c r="B11" i="4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L10" i="4"/>
  <c r="L25" i="4" s="1"/>
  <c r="E10" i="4"/>
  <c r="U9" i="4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T8" i="4"/>
  <c r="E5" i="4"/>
  <c r="B5" i="4"/>
  <c r="E4" i="4"/>
  <c r="B4" i="4"/>
  <c r="B6" i="4" s="1"/>
  <c r="B10" i="3" s="1"/>
  <c r="E2" i="4"/>
  <c r="B2" i="4"/>
  <c r="B8" i="3"/>
  <c r="E7" i="3"/>
  <c r="B7" i="3"/>
  <c r="E6" i="3"/>
  <c r="B6" i="3"/>
  <c r="E5" i="3"/>
  <c r="B5" i="3"/>
  <c r="B4" i="3"/>
  <c r="E3" i="3"/>
  <c r="B3" i="3"/>
  <c r="E12" i="4" l="1"/>
  <c r="D13" i="4"/>
  <c r="E11" i="4"/>
  <c r="E6" i="4"/>
  <c r="B9" i="3" s="1"/>
  <c r="T11" i="4"/>
  <c r="T13" i="4"/>
  <c r="U8" i="4"/>
  <c r="T10" i="4"/>
  <c r="T12" i="4"/>
  <c r="D14" i="4" l="1"/>
  <c r="C14" i="3"/>
  <c r="E4" i="6"/>
  <c r="E13" i="4"/>
  <c r="U11" i="4"/>
  <c r="U14" i="4"/>
  <c r="V8" i="4"/>
  <c r="U13" i="4"/>
  <c r="U12" i="4"/>
  <c r="U10" i="4"/>
  <c r="W8" i="4" l="1"/>
  <c r="V15" i="4"/>
  <c r="V13" i="4"/>
  <c r="V11" i="4"/>
  <c r="V14" i="4"/>
  <c r="V12" i="4"/>
  <c r="V10" i="4"/>
  <c r="E14" i="4"/>
  <c r="D15" i="4"/>
  <c r="T14" i="4"/>
  <c r="D16" i="4" l="1"/>
  <c r="E15" i="4"/>
  <c r="T15" i="4"/>
  <c r="U15" i="4"/>
  <c r="X8" i="4"/>
  <c r="W15" i="4"/>
  <c r="W13" i="4"/>
  <c r="W11" i="4"/>
  <c r="W16" i="4"/>
  <c r="W14" i="4"/>
  <c r="W12" i="4"/>
  <c r="W10" i="4"/>
  <c r="Y8" i="4" l="1"/>
  <c r="X15" i="4"/>
  <c r="X13" i="4"/>
  <c r="X11" i="4"/>
  <c r="X16" i="4"/>
  <c r="X14" i="4"/>
  <c r="X12" i="4"/>
  <c r="X10" i="4"/>
  <c r="E16" i="4"/>
  <c r="D17" i="4"/>
  <c r="T16" i="4"/>
  <c r="U16" i="4"/>
  <c r="V16" i="4"/>
  <c r="D18" i="4" l="1"/>
  <c r="C15" i="3"/>
  <c r="E8" i="6"/>
  <c r="E17" i="4"/>
  <c r="T17" i="4"/>
  <c r="U17" i="4"/>
  <c r="V17" i="4"/>
  <c r="W17" i="4"/>
  <c r="X17" i="4"/>
  <c r="Z8" i="4"/>
  <c r="Y17" i="4"/>
  <c r="Y15" i="4"/>
  <c r="Y13" i="4"/>
  <c r="Y11" i="4"/>
  <c r="Y18" i="4"/>
  <c r="Y14" i="4"/>
  <c r="Y12" i="4"/>
  <c r="Y16" i="4"/>
  <c r="Y10" i="4"/>
  <c r="Z17" i="4" l="1"/>
  <c r="Z15" i="4"/>
  <c r="Z13" i="4"/>
  <c r="Z11" i="4"/>
  <c r="Z18" i="4"/>
  <c r="Z16" i="4"/>
  <c r="Z14" i="4"/>
  <c r="Z12" i="4"/>
  <c r="Z10" i="4"/>
  <c r="AA8" i="4"/>
  <c r="E18" i="4"/>
  <c r="C16" i="3"/>
  <c r="E9" i="6"/>
  <c r="D19" i="4"/>
  <c r="T18" i="4"/>
  <c r="U18" i="4"/>
  <c r="V18" i="4"/>
  <c r="W18" i="4"/>
  <c r="X18" i="4"/>
  <c r="D20" i="4" l="1"/>
  <c r="E19" i="4"/>
  <c r="T19" i="4"/>
  <c r="U19" i="4"/>
  <c r="V19" i="4"/>
  <c r="W19" i="4"/>
  <c r="X19" i="4"/>
  <c r="Y19" i="4"/>
  <c r="AA18" i="4"/>
  <c r="AA16" i="4"/>
  <c r="AA12" i="4"/>
  <c r="AA13" i="4"/>
  <c r="AA11" i="4"/>
  <c r="AA15" i="4"/>
  <c r="AA20" i="4"/>
  <c r="AA14" i="4"/>
  <c r="AA10" i="4"/>
  <c r="AA19" i="4"/>
  <c r="AA17" i="4"/>
  <c r="AB8" i="4"/>
  <c r="Z19" i="4"/>
  <c r="AB20" i="4" l="1"/>
  <c r="AB18" i="4"/>
  <c r="AB16" i="4"/>
  <c r="AB14" i="4"/>
  <c r="AB12" i="4"/>
  <c r="AB10" i="4"/>
  <c r="AC8" i="4"/>
  <c r="AB21" i="4"/>
  <c r="AB19" i="4"/>
  <c r="AB17" i="4"/>
  <c r="AB15" i="4"/>
  <c r="AB13" i="4"/>
  <c r="AB11" i="4"/>
  <c r="E20" i="4"/>
  <c r="E10" i="6"/>
  <c r="D21" i="4"/>
  <c r="T20" i="4"/>
  <c r="U20" i="4"/>
  <c r="V20" i="4"/>
  <c r="W20" i="4"/>
  <c r="X20" i="4"/>
  <c r="Y20" i="4"/>
  <c r="Z20" i="4"/>
  <c r="AC20" i="4" l="1"/>
  <c r="AC18" i="4"/>
  <c r="AC16" i="4"/>
  <c r="AC14" i="4"/>
  <c r="AC12" i="4"/>
  <c r="AC10" i="4"/>
  <c r="AD8" i="4"/>
  <c r="AC21" i="4"/>
  <c r="AC19" i="4"/>
  <c r="AC17" i="4"/>
  <c r="AC15" i="4"/>
  <c r="AC13" i="4"/>
  <c r="AC11" i="4"/>
  <c r="D22" i="4"/>
  <c r="E21" i="4"/>
  <c r="T21" i="4"/>
  <c r="U21" i="4"/>
  <c r="V21" i="4"/>
  <c r="W21" i="4"/>
  <c r="X21" i="4"/>
  <c r="Y21" i="4"/>
  <c r="Z21" i="4"/>
  <c r="AA21" i="4"/>
  <c r="AD22" i="4" l="1"/>
  <c r="AD20" i="4"/>
  <c r="AD18" i="4"/>
  <c r="AD16" i="4"/>
  <c r="AD14" i="4"/>
  <c r="AD12" i="4"/>
  <c r="AD10" i="4"/>
  <c r="AE8" i="4"/>
  <c r="AD23" i="4"/>
  <c r="AD21" i="4"/>
  <c r="AD19" i="4"/>
  <c r="AD17" i="4"/>
  <c r="AD15" i="4"/>
  <c r="AD13" i="4"/>
  <c r="AD11" i="4"/>
  <c r="E22" i="4"/>
  <c r="D23" i="4"/>
  <c r="T22" i="4"/>
  <c r="U22" i="4"/>
  <c r="V22" i="4"/>
  <c r="W22" i="4"/>
  <c r="X22" i="4"/>
  <c r="Y22" i="4"/>
  <c r="Z22" i="4"/>
  <c r="AA22" i="4"/>
  <c r="AB22" i="4"/>
  <c r="AC22" i="4"/>
  <c r="AE21" i="4" l="1"/>
  <c r="AE17" i="4"/>
  <c r="AE22" i="4"/>
  <c r="AE20" i="4"/>
  <c r="AE18" i="4"/>
  <c r="AE16" i="4"/>
  <c r="AE14" i="4"/>
  <c r="AE12" i="4"/>
  <c r="AE10" i="4"/>
  <c r="AE15" i="4"/>
  <c r="AF8" i="4"/>
  <c r="AE13" i="4"/>
  <c r="AE19" i="4"/>
  <c r="AE23" i="4"/>
  <c r="AE11" i="4"/>
  <c r="C17" i="3"/>
  <c r="E11" i="6"/>
  <c r="E23" i="4"/>
  <c r="T23" i="4"/>
  <c r="U23" i="4"/>
  <c r="V23" i="4"/>
  <c r="W23" i="4"/>
  <c r="X23" i="4"/>
  <c r="Y23" i="4"/>
  <c r="Z23" i="4"/>
  <c r="AA23" i="4"/>
  <c r="AB23" i="4"/>
  <c r="AC23" i="4"/>
  <c r="AF22" i="4" l="1"/>
  <c r="AF20" i="4"/>
  <c r="AF18" i="4"/>
  <c r="AF16" i="4"/>
  <c r="AF14" i="4"/>
  <c r="AF12" i="4"/>
  <c r="AF10" i="4"/>
  <c r="AG8" i="4"/>
  <c r="AF23" i="4"/>
  <c r="AF21" i="4"/>
  <c r="AF19" i="4"/>
  <c r="AF17" i="4"/>
  <c r="AF15" i="4"/>
  <c r="AF13" i="4"/>
  <c r="AF11" i="4"/>
  <c r="AG21" i="4" l="1"/>
  <c r="AG22" i="4"/>
  <c r="AG19" i="4"/>
  <c r="AG17" i="4"/>
  <c r="AG15" i="4"/>
  <c r="AG13" i="4"/>
  <c r="AG11" i="4"/>
  <c r="AG10" i="4"/>
  <c r="AG23" i="4"/>
  <c r="AG20" i="4"/>
  <c r="AG18" i="4"/>
  <c r="AG16" i="4"/>
  <c r="AG14" i="4"/>
  <c r="AG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Sechaba Mokoena</author>
  </authors>
  <commentList>
    <comment ref="B3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 xml:space="preserve">Sechaba Mokoena:
Insert Start Date
</t>
        </r>
      </text>
    </comment>
  </commentList>
</comments>
</file>

<file path=xl/sharedStrings.xml><?xml version="1.0" encoding="utf-8"?>
<sst xmlns="http://schemas.openxmlformats.org/spreadsheetml/2006/main" count="808" uniqueCount="442">
  <si>
    <t>OFFICE TROLL - GAME DESIGN PROJECT PLAN</t>
  </si>
  <si>
    <t>Dashboard — High-level KPIs, phase gates, weekly focus.</t>
  </si>
  <si>
    <t>Master Schedule — Original timeline + Gantt; add owners, status, deliverables per row.</t>
  </si>
  <si>
    <t>Task Tracker — Break parent tasks into subtasks for daily/sprint work.</t>
  </si>
  <si>
    <t>Deliverables — Formal outputs, versions, submission links.</t>
  </si>
  <si>
    <t>Team &amp; RACI — Who does what; R/A/C/I per workstream.</t>
  </si>
  <si>
    <t>Design Doc Tracker — GDD section completion checklist.</t>
  </si>
  <si>
    <t>Asset Pipeline — Art/audio/UI asset status through review.</t>
  </si>
  <si>
    <t>Playtest Log — Sessions, bugs, severity, fix tracking.</t>
  </si>
  <si>
    <t>Risks &amp; Issues — Proactive risks + active blockers.</t>
  </si>
  <si>
    <t>Meeting Notes — Standups, design reviews, decisions.</t>
  </si>
  <si>
    <t>Tips:</t>
  </si>
  <si>
    <t>• Set B4 (Current Date) uses =TODAY() — always current.</t>
  </si>
  <si>
    <t>• Use dropdowns for Status, Priority, Discipline for consistency.</t>
  </si>
  <si>
    <t>• Link Deliverables and Task Tracker IDs in Master Schedule 'Depends On' column.</t>
  </si>
  <si>
    <t>• Update Dashboard weekly before stakeholder check-ins.</t>
  </si>
  <si>
    <t>PROJECT SETUP (yellow cells):</t>
  </si>
  <si>
    <t>• Change game title, engine, links, and team names in ONE place — Project Setup sheet.</t>
  </si>
  <si>
    <t>• Master Schedule header and Owner dropdowns pull from there automatically.</t>
  </si>
  <si>
    <t>TRACK AS YOU GO:</t>
  </si>
  <si>
    <t>• Actual Hours (Master Schedule col R, Task Tracker col L) — log weekly.</t>
  </si>
  <si>
    <t>• Depends On / Blockers — update when scope or order changes.</t>
  </si>
  <si>
    <t>• Playtest Log — one row per session; link action items to Task Tracker IDs.</t>
  </si>
  <si>
    <t>• Risks &amp; Issues — raise early; assign Owner from team list.</t>
  </si>
  <si>
    <t>PROJECT SETUP — edit yellow cells only</t>
  </si>
  <si>
    <t>Game / Working Title</t>
  </si>
  <si>
    <t>Office troll</t>
  </si>
  <si>
    <t>Project / Course Name</t>
  </si>
  <si>
    <t>Game Design Capstone - Project Plan</t>
  </si>
  <si>
    <t>Engine / Platform</t>
  </si>
  <si>
    <t>Unity 6 / Windows PC</t>
  </si>
  <si>
    <t>Build / Repo Link</t>
  </si>
  <si>
    <t>Arc / Submission Link</t>
  </si>
  <si>
    <t>https://arc.yourschool.edu (PoE upload)</t>
  </si>
  <si>
    <t>Project Lead</t>
  </si>
  <si>
    <t>Sechaba</t>
  </si>
  <si>
    <t>Team Member (dropdown source)</t>
  </si>
  <si>
    <t>Latita</t>
  </si>
  <si>
    <t>Sandile</t>
  </si>
  <si>
    <t>Sufyaan</t>
  </si>
  <si>
    <t>Tip: Names in rows 11–18 appear in Owner/Assignee dropdowns on other sheets.</t>
  </si>
  <si>
    <t>PROJECT DASHBOARD</t>
  </si>
  <si>
    <t>Overall Progress</t>
  </si>
  <si>
    <t>Phase 1 Progress</t>
  </si>
  <si>
    <t>Tasks Complete</t>
  </si>
  <si>
    <t>Phase 2 Progress</t>
  </si>
  <si>
    <t>Tasks In Progress</t>
  </si>
  <si>
    <t>Phase 3 Progress</t>
  </si>
  <si>
    <t>Tasks Blocked</t>
  </si>
  <si>
    <t>Design Discipline %</t>
  </si>
  <si>
    <t>Est. Hours (Total)</t>
  </si>
  <si>
    <t>Art Discipline %</t>
  </si>
  <si>
    <t>Actual Hours (Total)</t>
  </si>
  <si>
    <t>Next Milestone Due</t>
  </si>
  <si>
    <t>Days Until Due</t>
  </si>
  <si>
    <t>Weeks in Progress</t>
  </si>
  <si>
    <t>PHASE CHECKLIST</t>
  </si>
  <si>
    <t>Phase</t>
  </si>
  <si>
    <t>Key Gate</t>
  </si>
  <si>
    <t>Target Date</t>
  </si>
  <si>
    <t>Owner</t>
  </si>
  <si>
    <t>Status</t>
  </si>
  <si>
    <t>Evidence Link</t>
  </si>
  <si>
    <t>Phase 1</t>
  </si>
  <si>
    <t>Research + 2 concepts approved</t>
  </si>
  <si>
    <t>Complete</t>
  </si>
  <si>
    <t>Phase 2</t>
  </si>
  <si>
    <t>GDD + UI + assets draft complete</t>
  </si>
  <si>
    <t>In Progress</t>
  </si>
  <si>
    <t>Phase 3</t>
  </si>
  <si>
    <t>Playable vertical slice</t>
  </si>
  <si>
    <t>Submission</t>
  </si>
  <si>
    <t>Final PoE on Arc</t>
  </si>
  <si>
    <t>Not Started</t>
  </si>
  <si>
    <t>WEEKLY FOCUS (update each standup)</t>
  </si>
  <si>
    <t>Week Of</t>
  </si>
  <si>
    <t>Top 3 Goals</t>
  </si>
  <si>
    <t>Risks</t>
  </si>
  <si>
    <t>Decisions Needed</t>
  </si>
  <si>
    <t>Lock GDD v1.0; unblock greybox; playtest #2</t>
  </si>
  <si>
    <t>Art bandwidth; build instability on lab PCs</t>
  </si>
  <si>
    <t>Final concept (Concept A vs B)</t>
  </si>
  <si>
    <t>GAME DESIGN PROJECT PLAN</t>
  </si>
  <si>
    <t>Project Name</t>
  </si>
  <si>
    <t>Project Start</t>
  </si>
  <si>
    <t>Target Ship / Due Date</t>
  </si>
  <si>
    <t>Current Date</t>
  </si>
  <si>
    <t>Task</t>
  </si>
  <si>
    <t>Start Date</t>
  </si>
  <si>
    <t>Duration (Days)</t>
  </si>
  <si>
    <t>End Date</t>
  </si>
  <si>
    <t xml:space="preserve">Remaining Days </t>
  </si>
  <si>
    <t>Progress</t>
  </si>
  <si>
    <t>Discipline</t>
  </si>
  <si>
    <t>Priority</t>
  </si>
  <si>
    <t>% Complete</t>
  </si>
  <si>
    <t>Depends On</t>
  </si>
  <si>
    <t>Deliverable / Output</t>
  </si>
  <si>
    <t>Acceptance Criteria</t>
  </si>
  <si>
    <t>Tools / Location</t>
  </si>
  <si>
    <t>Est. Hours</t>
  </si>
  <si>
    <t>Actual Hours</t>
  </si>
  <si>
    <t>Blockers / Notes</t>
  </si>
  <si>
    <t>Task 1: Ideation &amp; Research Report</t>
  </si>
  <si>
    <t>Production</t>
  </si>
  <si>
    <t>Medium</t>
  </si>
  <si>
    <t>-</t>
  </si>
  <si>
    <t>Ideation report with 2 concepts + research</t>
  </si>
  <si>
    <t>Clear problem statement; cites 3+ sources; team sign-off</t>
  </si>
  <si>
    <t>Arc / Drive / Repo</t>
  </si>
  <si>
    <t>- Research &amp; Root Cause Analysis</t>
  </si>
  <si>
    <t>Research</t>
  </si>
  <si>
    <t>Low</t>
  </si>
  <si>
    <t>Task 1 kickoff</t>
  </si>
  <si>
    <t>Root cause / market research summary</t>
  </si>
  <si>
    <t>RCA diagram; competitor table; player persona draft</t>
  </si>
  <si>
    <t>- Ideation (Two Game Concepts)</t>
  </si>
  <si>
    <t>Design</t>
  </si>
  <si>
    <t>Research (row 11)</t>
  </si>
  <si>
    <t>Two pitch-ready game concepts (1-pagers)</t>
  </si>
  <si>
    <t>Each concept: hook, genre, core loop, unique selling point</t>
  </si>
  <si>
    <t>- Final Task 1 Report Submission</t>
  </si>
  <si>
    <t>Documentation</t>
  </si>
  <si>
    <t>High</t>
  </si>
  <si>
    <t>Ideation (row 12)</t>
  </si>
  <si>
    <t>Task 1 final report (submitted)</t>
  </si>
  <si>
    <t>Meets rubric; submitted on time</t>
  </si>
  <si>
    <t>Submitted on Arc</t>
  </si>
  <si>
    <t>Task 2: Game Design &amp; Assets</t>
  </si>
  <si>
    <t>In Review</t>
  </si>
  <si>
    <t>Task 1 report (row 13)</t>
  </si>
  <si>
    <t>Core loop doc + mechanics spec</t>
  </si>
  <si>
    <t>Loop diagram; input map; win/lose conditions documented</t>
  </si>
  <si>
    <t>- Core Gameplay &amp; Mechanics Design</t>
  </si>
  <si>
    <t>Task 2 kickoff (row 14)</t>
  </si>
  <si>
    <t>UI wireframes / mockups</t>
  </si>
  <si>
    <t>All screens listed; navigation flow; accessibility notes</t>
  </si>
  <si>
    <t>- User Interface (UI) Design</t>
  </si>
  <si>
    <t>UI/UX</t>
  </si>
  <si>
    <t>Task 1 approved concepts</t>
  </si>
  <si>
    <t>Character sheets + asset list</t>
  </si>
  <si>
    <t>Style guide ref; export specs; naming convention followed</t>
  </si>
  <si>
    <t>Waiting on final concept pick from team review</t>
  </si>
  <si>
    <t>- Character &amp; Asset Creation</t>
  </si>
  <si>
    <t>Art</t>
  </si>
  <si>
    <t>Core mechanics draft (row 15)</t>
  </si>
  <si>
    <t>Task 2 final report + asset package</t>
  </si>
  <si>
    <t>All assets linked; GDD sections complete per checklist</t>
  </si>
  <si>
    <t>- Final Task 2 Report Submission</t>
  </si>
  <si>
    <t>UI + assets (rows 16-17)</t>
  </si>
  <si>
    <t>Playable prototype (vertical slice)</t>
  </si>
  <si>
    <t>5+ min playable; no blocker bugs; build runs on target platform</t>
  </si>
  <si>
    <t>Draft due this week</t>
  </si>
  <si>
    <t>Summative Project Submission</t>
  </si>
  <si>
    <t>Task 2 deliverables (row 18)</t>
  </si>
  <si>
    <t>Refined build + changelog</t>
  </si>
  <si>
    <t>Playtest feedback addressed; version tagged</t>
  </si>
  <si>
    <t>- Prototype Refinement</t>
  </si>
  <si>
    <t>Engineering</t>
  </si>
  <si>
    <t>Playable prototype (row 19)</t>
  </si>
  <si>
    <t>Presentation deck + demo script</t>
  </si>
  <si>
    <t>10–15 min presentation; live demo path tested</t>
  </si>
  <si>
    <t>Blocked until greybox build from Riley</t>
  </si>
  <si>
    <t>- Presentation Preparation</t>
  </si>
  <si>
    <t>Refined build (row 20)</t>
  </si>
  <si>
    <t>Peer + self evaluation forms</t>
  </si>
  <si>
    <t>All forms complete per course requirements</t>
  </si>
  <si>
    <t>- Peer &amp; Self-Evaluations</t>
  </si>
  <si>
    <t>QA</t>
  </si>
  <si>
    <t>Presentation draft (row 21)</t>
  </si>
  <si>
    <t>Upload confirmed; checklist 100%</t>
  </si>
  <si>
    <t>- Final PoE Submission (on Arc)</t>
  </si>
  <si>
    <t>Evaluations (row 22)</t>
  </si>
  <si>
    <t xml:space="preserve"> </t>
  </si>
  <si>
    <t>PROJECT TOTALS</t>
  </si>
  <si>
    <t>DETAILED TASK BREAKDOWN — use for day-to-day sprint tracking</t>
  </si>
  <si>
    <t>ID</t>
  </si>
  <si>
    <t>Parent Task</t>
  </si>
  <si>
    <t>Subtask</t>
  </si>
  <si>
    <t>Assignee</t>
  </si>
  <si>
    <t>Start</t>
  </si>
  <si>
    <t>Due</t>
  </si>
  <si>
    <t>Est. Hrs</t>
  </si>
  <si>
    <t>Logged Hrs</t>
  </si>
  <si>
    <t>Remaining Hrs</t>
  </si>
  <si>
    <t>Definition of Done</t>
  </si>
  <si>
    <t>File / Link</t>
  </si>
  <si>
    <t>Blocked?</t>
  </si>
  <si>
    <t>Blocker Detail</t>
  </si>
  <si>
    <t>Notes</t>
  </si>
  <si>
    <t>T1.1</t>
  </si>
  <si>
    <t>Task 1</t>
  </si>
  <si>
    <t>Competitive analysis (3 games)</t>
  </si>
  <si>
    <t>Table comparing mechanics, audience, monetization</t>
  </si>
  <si>
    <t>No</t>
  </si>
  <si>
    <t>T1.2</t>
  </si>
  <si>
    <t>Player persona + problem statement</t>
  </si>
  <si>
    <t>1 primary persona; problem validated with research</t>
  </si>
  <si>
    <t>T1.3</t>
  </si>
  <si>
    <t>Game concept A — one-pager</t>
  </si>
  <si>
    <t>Critical</t>
  </si>
  <si>
    <t>Hook, genre, core loop, USP, target platform</t>
  </si>
  <si>
    <t>T1.4</t>
  </si>
  <si>
    <t>Game concept B — one-pager</t>
  </si>
  <si>
    <t>Distinct from concept A; same template</t>
  </si>
  <si>
    <t>T2.1</t>
  </si>
  <si>
    <t>Task 2</t>
  </si>
  <si>
    <t>Core loop diagram</t>
  </si>
  <si>
    <t>Mermaid or diagram: moment-to-moment + session loop</t>
  </si>
  <si>
    <t>T2.2</t>
  </si>
  <si>
    <t>Mechanics spec (inputs, systems, balance)</t>
  </si>
  <si>
    <t>All verbs documented; tuning knobs listed</t>
  </si>
  <si>
    <t>T2.3</t>
  </si>
  <si>
    <t>UI flow + wireframes</t>
  </si>
  <si>
    <t>All screens; HUD; menus; failure states</t>
  </si>
  <si>
    <t>T2.4</t>
  </si>
  <si>
    <t>Character design + turnaround</t>
  </si>
  <si>
    <t>Front/side; color palette; export PNG/SVG</t>
  </si>
  <si>
    <t>T2.5</t>
  </si>
  <si>
    <t>Environment / prop asset pass</t>
  </si>
  <si>
    <t>Asset list 100% with filenames + folder structure</t>
  </si>
  <si>
    <t>T3.1</t>
  </si>
  <si>
    <t>Summative</t>
  </si>
  <si>
    <t>Greybox / prototype build</t>
  </si>
  <si>
    <t>Blocked</t>
  </si>
  <si>
    <t>Core loop playable 5+ minutes</t>
  </si>
  <si>
    <t>Yes</t>
  </si>
  <si>
    <t>Need approved GDD before greybox scope lock</t>
  </si>
  <si>
    <t>T3.2</t>
  </si>
  <si>
    <t>Playtest session #1</t>
  </si>
  <si>
    <t>3+ testers; notes in Playtest Log sheet</t>
  </si>
  <si>
    <t>T3.3</t>
  </si>
  <si>
    <t>Bug triage + fix sprint</t>
  </si>
  <si>
    <t>P0/P1 bugs closed or deferred with rationale</t>
  </si>
  <si>
    <t>T3.4</t>
  </si>
  <si>
    <t>Presentation + demo rehearsal</t>
  </si>
  <si>
    <t>Dry run recorded; backup build ready</t>
  </si>
  <si>
    <t>DELIVERABLES &amp; MILESTONES</t>
  </si>
  <si>
    <t>Deliverable</t>
  </si>
  <si>
    <t>Type</t>
  </si>
  <si>
    <t>Due Date</t>
  </si>
  <si>
    <t>Reviewers</t>
  </si>
  <si>
    <t>% Done</t>
  </si>
  <si>
    <t>Submission Location</t>
  </si>
  <si>
    <t>Rubric / Criteria Met?</t>
  </si>
  <si>
    <t>Version</t>
  </si>
  <si>
    <t>D-01</t>
  </si>
  <si>
    <t>Task 1 Final Report</t>
  </si>
  <si>
    <t>Report</t>
  </si>
  <si>
    <t>Instructor</t>
  </si>
  <si>
    <t>Submitted</t>
  </si>
  <si>
    <t>v1.0</t>
  </si>
  <si>
    <t>D-02</t>
  </si>
  <si>
    <t>Game Design Document (GDD)</t>
  </si>
  <si>
    <t>Design Doc</t>
  </si>
  <si>
    <t>Team Lead</t>
  </si>
  <si>
    <t>v0.9</t>
  </si>
  <si>
    <t>See Design Doc Tracker</t>
  </si>
  <si>
    <t>D-03</t>
  </si>
  <si>
    <t>UI Mockup Package</t>
  </si>
  <si>
    <t>Art/Design</t>
  </si>
  <si>
    <t>Figma — add link</t>
  </si>
  <si>
    <t>v0.8</t>
  </si>
  <si>
    <t>D-04</t>
  </si>
  <si>
    <t>Asset Package (characters, UI, audio)</t>
  </si>
  <si>
    <t>v0.7</t>
  </si>
  <si>
    <t>D-05</t>
  </si>
  <si>
    <t>Task 2 Final Report</t>
  </si>
  <si>
    <t>Draft</t>
  </si>
  <si>
    <t>v0.5</t>
  </si>
  <si>
    <t>D-06</t>
  </si>
  <si>
    <t>Playable Prototype Build</t>
  </si>
  <si>
    <t>Build</t>
  </si>
  <si>
    <t>Team</t>
  </si>
  <si>
    <t>itch.io / build folder</t>
  </si>
  <si>
    <t>v0.2</t>
  </si>
  <si>
    <t>D-07</t>
  </si>
  <si>
    <t>Presentation Deck</t>
  </si>
  <si>
    <t>Presentation</t>
  </si>
  <si>
    <t>Class</t>
  </si>
  <si>
    <t>Slides — add link</t>
  </si>
  <si>
    <t>v0.1</t>
  </si>
  <si>
    <t>D-08</t>
  </si>
  <si>
    <t>Final PoE Submission</t>
  </si>
  <si>
    <t>v0.0</t>
  </si>
  <si>
    <t>TEAM ROSTER &amp; RACI</t>
  </si>
  <si>
    <t>TEAM ROSTER</t>
  </si>
  <si>
    <t>Name</t>
  </si>
  <si>
    <t>Role</t>
  </si>
  <si>
    <t>Email / Contact</t>
  </si>
  <si>
    <t>Availability (hrs/wk)</t>
  </si>
  <si>
    <t>Primary Responsibilities</t>
  </si>
  <si>
    <t>Design / Production</t>
  </si>
  <si>
    <t>Reports, milestones, presentations</t>
  </si>
  <si>
    <t>Game Designer</t>
  </si>
  <si>
    <t>GDD, mechanics, UI wireframes, playtests</t>
  </si>
  <si>
    <t>Artist</t>
  </si>
  <si>
    <t>Characters, UI art, asset pipeline</t>
  </si>
  <si>
    <t>Programmer</t>
  </si>
  <si>
    <t>Prototype, builds, bug fixes</t>
  </si>
  <si>
    <t>RACI MATRIX (R=Responsible, A=Accountable, C=Consulted, I=Informed)</t>
  </si>
  <si>
    <t>Workstream</t>
  </si>
  <si>
    <t>Lead</t>
  </si>
  <si>
    <t>Designer</t>
  </si>
  <si>
    <t>Research &amp; ideation</t>
  </si>
  <si>
    <t>A</t>
  </si>
  <si>
    <t>R</t>
  </si>
  <si>
    <t>I</t>
  </si>
  <si>
    <t>C</t>
  </si>
  <si>
    <t>Core mechanics design</t>
  </si>
  <si>
    <t>Art &amp; assets</t>
  </si>
  <si>
    <t>Prototype build</t>
  </si>
  <si>
    <t>Playtesting</t>
  </si>
  <si>
    <t>Reports &amp; submission</t>
  </si>
  <si>
    <t>GDD / DESIGN DOCUMENTATION TRACKER</t>
  </si>
  <si>
    <t>Section</t>
  </si>
  <si>
    <t>Required?</t>
  </si>
  <si>
    <t>Last Updated</t>
  </si>
  <si>
    <t>Doc Link</t>
  </si>
  <si>
    <t>Review Notes</t>
  </si>
  <si>
    <t>Executive summary / elevator pitch</t>
  </si>
  <si>
    <t>Approved</t>
  </si>
  <si>
    <t>Design pillars &amp; goals</t>
  </si>
  <si>
    <t>Target audience &amp; personas</t>
  </si>
  <si>
    <t>Competitive analysis</t>
  </si>
  <si>
    <t>Core loop (moment + session)</t>
  </si>
  <si>
    <t>Mechanics &amp; systems</t>
  </si>
  <si>
    <t>Controls / input map</t>
  </si>
  <si>
    <t>Progression &amp; economy</t>
  </si>
  <si>
    <t>Optional</t>
  </si>
  <si>
    <t>Level / content design</t>
  </si>
  <si>
    <t>UI/UX specification</t>
  </si>
  <si>
    <t>Art style guide &amp; references</t>
  </si>
  <si>
    <t>Audio direction</t>
  </si>
  <si>
    <t>Technical constraints &amp; platform</t>
  </si>
  <si>
    <t>Risk register (design)</t>
  </si>
  <si>
    <t>Playtest plan</t>
  </si>
  <si>
    <t>Appendix: change log</t>
  </si>
  <si>
    <t>ASSET PIPELINE</t>
  </si>
  <si>
    <t>Asset ID</t>
  </si>
  <si>
    <t>Category</t>
  </si>
  <si>
    <t>Spec (size/format)</t>
  </si>
  <si>
    <t>Assigned To</t>
  </si>
  <si>
    <t>File Path / Link</t>
  </si>
  <si>
    <t>In Build?</t>
  </si>
  <si>
    <t>Review Status</t>
  </si>
  <si>
    <t>A-001</t>
  </si>
  <si>
    <t>Player character sprite</t>
  </si>
  <si>
    <t>Character</t>
  </si>
  <si>
    <t>32x32 PNG</t>
  </si>
  <si>
    <t>A-002</t>
  </si>
  <si>
    <t>Main menu background</t>
  </si>
  <si>
    <t>UI</t>
  </si>
  <si>
    <t>1920x1080</t>
  </si>
  <si>
    <t>Ready for Review</t>
  </si>
  <si>
    <t>Pending</t>
  </si>
  <si>
    <t>A-003</t>
  </si>
  <si>
    <t>HUD elements kit</t>
  </si>
  <si>
    <t>Vector/SVG</t>
  </si>
  <si>
    <t>WIP</t>
  </si>
  <si>
    <t>Partial</t>
  </si>
  <si>
    <t>A-004</t>
  </si>
  <si>
    <t>SFX — UI click</t>
  </si>
  <si>
    <t>Audio</t>
  </si>
  <si>
    <t>WAV 44.1kHz</t>
  </si>
  <si>
    <t>A-005</t>
  </si>
  <si>
    <t>BGM loop — gameplay</t>
  </si>
  <si>
    <t>OGG loop</t>
  </si>
  <si>
    <t>PLAYTEST &amp; QA LOG</t>
  </si>
  <si>
    <t>Session #</t>
  </si>
  <si>
    <t>Date</t>
  </si>
  <si>
    <t>Build Version</t>
  </si>
  <si>
    <t>Tester(s)</t>
  </si>
  <si>
    <t>Session Goal</t>
  </si>
  <si>
    <t>Method</t>
  </si>
  <si>
    <t>Findings (summary)</t>
  </si>
  <si>
    <t>Severity</t>
  </si>
  <si>
    <t>Action Item</t>
  </si>
  <si>
    <t>Fixed In Build</t>
  </si>
  <si>
    <t>Classmates (n=3)</t>
  </si>
  <si>
    <t>Core loop clarity</t>
  </si>
  <si>
    <t>Think-aloud</t>
  </si>
  <si>
    <t>2/3 confused by objective marker</t>
  </si>
  <si>
    <t>UX</t>
  </si>
  <si>
    <t>Add HUD objective ping</t>
  </si>
  <si>
    <t>Fixed</t>
  </si>
  <si>
    <t>v0.15</t>
  </si>
  <si>
    <t>QA + design (n=5)</t>
  </si>
  <si>
    <t>Difficulty curve</t>
  </si>
  <si>
    <t>Survey</t>
  </si>
  <si>
    <t>Boss too hard; avg 8 min session</t>
  </si>
  <si>
    <t>Balance</t>
  </si>
  <si>
    <t>Tune boss HP</t>
  </si>
  <si>
    <t>External (n=4)</t>
  </si>
  <si>
    <t>Onboarding + fun</t>
  </si>
  <si>
    <t>Remote</t>
  </si>
  <si>
    <t>Strong art; 1 quit before tutorial end</t>
  </si>
  <si>
    <t>Fun / Engagement</t>
  </si>
  <si>
    <t>Shorten tutorial</t>
  </si>
  <si>
    <t>Open</t>
  </si>
  <si>
    <t>RISK &amp; ISSUE REGISTER</t>
  </si>
  <si>
    <t>Description</t>
  </si>
  <si>
    <t>Impact</t>
  </si>
  <si>
    <t>Likelihood</t>
  </si>
  <si>
    <t>Score</t>
  </si>
  <si>
    <t>Mitigation</t>
  </si>
  <si>
    <t>Date Raised</t>
  </si>
  <si>
    <t>Target Resolution</t>
  </si>
  <si>
    <t>R-01</t>
  </si>
  <si>
    <t>Risk</t>
  </si>
  <si>
    <t>Scope too large for prototype deadline</t>
  </si>
  <si>
    <t>Cut optional mechanics; prioritize vertical slice</t>
  </si>
  <si>
    <t>Monitoring</t>
  </si>
  <si>
    <t>R-02</t>
  </si>
  <si>
    <t>Art pipeline bottleneck</t>
  </si>
  <si>
    <t>Use placeholder art early; lock style guide week 1</t>
  </si>
  <si>
    <t>Mitigated</t>
  </si>
  <si>
    <t>I-01</t>
  </si>
  <si>
    <t>Issue</t>
  </si>
  <si>
    <t>Build fails on lab PCs — missing runtime</t>
  </si>
  <si>
    <t>—</t>
  </si>
  <si>
    <t>Repro steps documented; assign programmer</t>
  </si>
  <si>
    <t>MEETING &amp; STANDUP NOTES</t>
  </si>
  <si>
    <t>Meeting Type</t>
  </si>
  <si>
    <t>Attendees</t>
  </si>
  <si>
    <t>Agenda</t>
  </si>
  <si>
    <t>Decisions</t>
  </si>
  <si>
    <t>Action Items</t>
  </si>
  <si>
    <t>Next Meeting</t>
  </si>
  <si>
    <t>sechabamokoena10@gmail.com</t>
  </si>
  <si>
    <t>Online</t>
  </si>
  <si>
    <t>Sufyaan,Latita,Sandile,Sechaba</t>
  </si>
  <si>
    <t>Nest playtest and what our game is missing</t>
  </si>
  <si>
    <t>Playtest at the next Rosebank game jam and collect feedback</t>
  </si>
  <si>
    <t>Sufyaan.albertus040@gmail.com</t>
  </si>
  <si>
    <t>latita.mvunelo@gmail.com</t>
  </si>
  <si>
    <t>Last updated: July 19, 2026  |  Team: Sechaba, Latita, Sandile, Sufyaan</t>
  </si>
  <si>
    <t>https://github.com/sufyaanAlbertus/Work_Integrated_Learning_OfficeTroll.git</t>
  </si>
  <si>
    <t>sandiledube11@gmail.com</t>
  </si>
  <si>
    <t>Submission for phase 1&amp;2</t>
  </si>
  <si>
    <t>Take feedback from playtests and try implement changes</t>
  </si>
  <si>
    <t>Sechaba,Sufyaan ,Sandile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</si>
</sst>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W\K\ #"/>
    <numFmt numFmtId="165" formatCode="yyyy\-mm\-dd"/>
    <numFmt numFmtId="166" formatCode="yyyy\-mm\-dd\ h:mm:ss"/>
  </numFmts>
  <fonts count="8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  <font>
      <b/>
      <sz val="14"/>
      <color rgb="FF002060"/>
      <name val="Aptos Narrow"/>
    </font>
    <font>
      <b/>
      <sz val="11"/>
      <name val="Aptos Narrow"/>
    </font>
    <font>
      <b/>
      <sz val="11"/>
      <color rgb="FFFFFFFF"/>
      <name val="Aptos Narrow"/>
    </font>
    <font>
      <i/>
      <sz val="11"/>
      <color rgb="FF666666"/>
      <name val="Aptos Narrow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</patternFill>
    </fill>
    <fill>
      <patternFill patternType="solid">
        <fgColor rgb="FFFFF2CC"/>
      </patternFill>
    </fill>
    <fill>
      <patternFill patternType="solid">
        <fgColor rgb="FFFFF2CC"/>
        <bgColor rgb="FFFFF2CC"/>
      </patternFill>
    </fill>
  </fills>
  <borders count="5">
    <border>
      <left/>
      <right/>
      <top/>
      <bottom/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1" fillId="2" borderId="0" xfId="0" applyFont="1" applyFill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9" fontId="0" fillId="0" borderId="1" xfId="0" applyNumberFormat="1" applyBorder="1"/>
    <xf numFmtId="164" fontId="0" fillId="0" borderId="0" xfId="0" applyNumberFormat="1"/>
    <xf numFmtId="0" fontId="0" fillId="0" borderId="2" xfId="0" applyBorder="1"/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wrapText="1"/>
    </xf>
    <xf numFmtId="0" fontId="3" fillId="0" borderId="0" xfId="0" applyFont="1"/>
    <xf numFmtId="0" fontId="4" fillId="0" borderId="0" xfId="0" applyFont="1"/>
    <xf numFmtId="9" fontId="0" fillId="0" borderId="0" xfId="0" applyNumberFormat="1"/>
    <xf numFmtId="165" fontId="0" fillId="0" borderId="0" xfId="0" applyNumberFormat="1"/>
    <xf numFmtId="0" fontId="5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166" fontId="0" fillId="0" borderId="0" xfId="0" applyNumberFormat="1"/>
    <xf numFmtId="16" fontId="5" fillId="3" borderId="4" xfId="0" applyNumberFormat="1" applyFont="1" applyFill="1" applyBorder="1" applyAlignment="1">
      <alignment horizontal="center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0" fillId="4" borderId="0" xfId="0" applyFill="1"/>
    <xf numFmtId="0" fontId="6" fillId="0" borderId="0" xfId="0" applyFont="1"/>
    <xf numFmtId="166" fontId="0" fillId="0" borderId="4" xfId="0" applyNumberFormat="1" applyBorder="1"/>
    <xf numFmtId="0" fontId="0" fillId="5" borderId="0" xfId="0" applyFill="1"/>
    <xf numFmtId="0" fontId="7" fillId="0" borderId="0" xfId="1"/>
    <xf numFmtId="0" fontId="3" fillId="0" borderId="0" xfId="0" applyFont="1"/>
    <xf numFmtId="0" fontId="0" fillId="0" borderId="0" xfId="0"/>
    <xf numFmtId="0" fontId="7" fillId="4" borderId="0" xfId="1" applyFill="1"/>
  </cellXfs>
  <cellStyles count="2">
    <cellStyle name="Hyperlink" xfId="1" builtinId="8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ufyaanAlbertus/Work_Integrated_Learning_OfficeTroll.gi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Sufyaan.albertus040@gmail.com" TargetMode="External"/><Relationship Id="rId2" Type="http://schemas.openxmlformats.org/officeDocument/2006/relationships/hyperlink" Target="mailto:latita.mvunelo@gmail.com" TargetMode="External"/><Relationship Id="rId1" Type="http://schemas.openxmlformats.org/officeDocument/2006/relationships/hyperlink" Target="mailto:sechabamokoena10@gmail.com" TargetMode="External"/><Relationship Id="rId4" Type="http://schemas.openxmlformats.org/officeDocument/2006/relationships/hyperlink" Target="mailto:sandiledube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workbookViewId="0">
      <selection activeCell="A2" sqref="A2"/>
    </sheetView>
  </sheetViews>
  <sheetFormatPr defaultRowHeight="14.4" x14ac:dyDescent="0.3"/>
  <cols>
    <col min="1" max="1" width="72" customWidth="1"/>
  </cols>
  <sheetData>
    <row r="1" spans="1:1" ht="18" x14ac:dyDescent="0.35">
      <c r="A1" s="11" t="s">
        <v>0</v>
      </c>
    </row>
    <row r="2" spans="1:1" x14ac:dyDescent="0.3">
      <c r="A2" t="s">
        <v>436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21" spans="1:1" x14ac:dyDescent="0.3">
      <c r="A21" t="s">
        <v>16</v>
      </c>
    </row>
    <row r="22" spans="1:1" x14ac:dyDescent="0.3">
      <c r="A22" t="s">
        <v>17</v>
      </c>
    </row>
    <row r="23" spans="1:1" x14ac:dyDescent="0.3">
      <c r="A23" t="s">
        <v>18</v>
      </c>
    </row>
    <row r="25" spans="1:1" x14ac:dyDescent="0.3">
      <c r="A25" t="s">
        <v>19</v>
      </c>
    </row>
    <row r="26" spans="1:1" x14ac:dyDescent="0.3">
      <c r="A26" t="s">
        <v>20</v>
      </c>
    </row>
    <row r="27" spans="1:1" x14ac:dyDescent="0.3">
      <c r="A27" t="s">
        <v>21</v>
      </c>
    </row>
    <row r="28" spans="1:1" x14ac:dyDescent="0.3">
      <c r="A28" t="s">
        <v>22</v>
      </c>
    </row>
    <row r="29" spans="1:1" x14ac:dyDescent="0.3">
      <c r="A29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"/>
  <sheetViews>
    <sheetView workbookViewId="0">
      <selection activeCell="B7" sqref="B7"/>
    </sheetView>
  </sheetViews>
  <sheetFormatPr defaultRowHeight="14.4" x14ac:dyDescent="0.3"/>
  <cols>
    <col min="1" max="1" width="32" customWidth="1"/>
    <col min="2" max="2" width="48" customWidth="1"/>
  </cols>
  <sheetData>
    <row r="1" spans="1:3" ht="18" x14ac:dyDescent="0.35">
      <c r="A1" s="25" t="s">
        <v>24</v>
      </c>
      <c r="B1" s="26"/>
      <c r="C1" s="26"/>
    </row>
    <row r="3" spans="1:3" x14ac:dyDescent="0.3">
      <c r="A3" s="12" t="s">
        <v>25</v>
      </c>
      <c r="B3" s="20" t="s">
        <v>26</v>
      </c>
    </row>
    <row r="4" spans="1:3" x14ac:dyDescent="0.3">
      <c r="A4" s="12" t="s">
        <v>27</v>
      </c>
      <c r="B4" s="20" t="s">
        <v>28</v>
      </c>
    </row>
    <row r="5" spans="1:3" x14ac:dyDescent="0.3">
      <c r="A5" s="12" t="s">
        <v>29</v>
      </c>
      <c r="B5" s="20" t="s">
        <v>30</v>
      </c>
    </row>
    <row r="6" spans="1:3" x14ac:dyDescent="0.3">
      <c r="A6" s="12" t="s">
        <v>31</v>
      </c>
      <c r="B6" s="27" t="s">
        <v>437</v>
      </c>
    </row>
    <row r="7" spans="1:3" x14ac:dyDescent="0.3">
      <c r="A7" s="12" t="s">
        <v>32</v>
      </c>
      <c r="B7" s="20" t="s">
        <v>33</v>
      </c>
    </row>
    <row r="8" spans="1:3" x14ac:dyDescent="0.3">
      <c r="A8" s="12" t="s">
        <v>34</v>
      </c>
      <c r="B8" s="20" t="s">
        <v>35</v>
      </c>
    </row>
    <row r="9" spans="1:3" x14ac:dyDescent="0.3">
      <c r="A9" s="12"/>
      <c r="B9" s="20"/>
    </row>
    <row r="10" spans="1:3" x14ac:dyDescent="0.3">
      <c r="A10" s="12" t="s">
        <v>36</v>
      </c>
      <c r="B10" s="20"/>
    </row>
    <row r="11" spans="1:3" x14ac:dyDescent="0.3">
      <c r="A11" s="12"/>
      <c r="B11" s="20" t="s">
        <v>35</v>
      </c>
    </row>
    <row r="12" spans="1:3" x14ac:dyDescent="0.3">
      <c r="A12" s="12"/>
      <c r="B12" s="20" t="s">
        <v>37</v>
      </c>
    </row>
    <row r="13" spans="1:3" x14ac:dyDescent="0.3">
      <c r="A13" s="21"/>
      <c r="B13" s="20" t="s">
        <v>38</v>
      </c>
    </row>
    <row r="14" spans="1:3" x14ac:dyDescent="0.3">
      <c r="A14" s="12"/>
      <c r="B14" s="20" t="s">
        <v>39</v>
      </c>
    </row>
    <row r="15" spans="1:3" x14ac:dyDescent="0.3">
      <c r="A15" t="s">
        <v>40</v>
      </c>
      <c r="B15" s="23"/>
    </row>
    <row r="16" spans="1:3" x14ac:dyDescent="0.3">
      <c r="B16" s="23"/>
    </row>
    <row r="17" spans="2:2" x14ac:dyDescent="0.3">
      <c r="B17" s="23"/>
    </row>
    <row r="18" spans="2:2" x14ac:dyDescent="0.3">
      <c r="B18" s="23"/>
    </row>
  </sheetData>
  <mergeCells count="1">
    <mergeCell ref="A1:C1"/>
  </mergeCells>
  <hyperlinks>
    <hyperlink ref="B6" r:id="rId1" xr:uid="{23EDEFF6-721C-4E32-BB6D-E1542CE52E3D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A3" sqref="A3"/>
    </sheetView>
  </sheetViews>
  <sheetFormatPr defaultRowHeight="14.4" x14ac:dyDescent="0.3"/>
  <cols>
    <col min="1" max="1" width="22" customWidth="1"/>
    <col min="2" max="3" width="14" customWidth="1"/>
    <col min="4" max="4" width="22" customWidth="1"/>
    <col min="5" max="5" width="14" customWidth="1"/>
    <col min="6" max="6" width="28" customWidth="1"/>
  </cols>
  <sheetData>
    <row r="1" spans="1:8" ht="18" x14ac:dyDescent="0.35">
      <c r="A1" s="25" t="s">
        <v>41</v>
      </c>
      <c r="B1" s="26"/>
      <c r="C1" s="26"/>
      <c r="D1" s="26"/>
      <c r="E1" s="26"/>
      <c r="F1" s="26"/>
      <c r="G1" s="26"/>
      <c r="H1" s="26"/>
    </row>
    <row r="3" spans="1:8" x14ac:dyDescent="0.3">
      <c r="A3" s="12" t="s">
        <v>42</v>
      </c>
      <c r="B3" s="13">
        <f>AVERAGE('Master Schedule'!F10:F23)</f>
        <v>0.60357142857142854</v>
      </c>
      <c r="D3" s="12" t="s">
        <v>43</v>
      </c>
      <c r="E3" s="13">
        <f>AVERAGEIF('Master Schedule'!G10:G23,"Phase 1",'Master Schedule'!F10:F23)</f>
        <v>1</v>
      </c>
    </row>
    <row r="4" spans="1:8" x14ac:dyDescent="0.3">
      <c r="A4" s="12" t="s">
        <v>44</v>
      </c>
      <c r="B4">
        <f>COUNTIF('Master Schedule'!K10:K23,"Complete")</f>
        <v>4</v>
      </c>
      <c r="D4" s="12" t="s">
        <v>45</v>
      </c>
      <c r="E4" s="13">
        <f>AVERAGEIF('Master Schedule'!G10:G23,"Phase 2",'Master Schedule'!F10:F23)</f>
        <v>0.74</v>
      </c>
    </row>
    <row r="5" spans="1:8" x14ac:dyDescent="0.3">
      <c r="A5" s="12" t="s">
        <v>46</v>
      </c>
      <c r="B5" s="13">
        <f>COUNTIF('Master Schedule'!K10:K23,"In Progress")</f>
        <v>5</v>
      </c>
      <c r="D5" s="12" t="s">
        <v>47</v>
      </c>
      <c r="E5" s="13">
        <f>AVERAGEIF('Master Schedule'!G10:G23,"Phase 3",'Master Schedule'!F10:F23)</f>
        <v>0.15</v>
      </c>
    </row>
    <row r="6" spans="1:8" x14ac:dyDescent="0.3">
      <c r="A6" s="12" t="s">
        <v>48</v>
      </c>
      <c r="B6">
        <f>COUNTIF('Master Schedule'!K10:K23,"Blocked")</f>
        <v>0</v>
      </c>
      <c r="D6" s="12" t="s">
        <v>49</v>
      </c>
      <c r="E6" s="13">
        <f>AVERAGEIF('Master Schedule'!H10:H23,"Design",'Master Schedule'!F10:F23)</f>
        <v>0.91666666666666663</v>
      </c>
    </row>
    <row r="7" spans="1:8" x14ac:dyDescent="0.3">
      <c r="A7" s="12" t="s">
        <v>50</v>
      </c>
      <c r="B7">
        <f>SUM('Master Schedule'!Q10:Q23)</f>
        <v>232</v>
      </c>
      <c r="D7" s="12" t="s">
        <v>51</v>
      </c>
      <c r="E7" s="13">
        <f>AVERAGEIF('Master Schedule'!H10:H23,"Art",'Master Schedule'!F10:F23)</f>
        <v>0.7</v>
      </c>
    </row>
    <row r="8" spans="1:8" x14ac:dyDescent="0.3">
      <c r="A8" s="12" t="s">
        <v>52</v>
      </c>
      <c r="B8">
        <f>SUM('Master Schedule'!R10:R23)</f>
        <v>156</v>
      </c>
      <c r="D8" s="12" t="s">
        <v>53</v>
      </c>
      <c r="E8" s="14"/>
    </row>
    <row r="9" spans="1:8" x14ac:dyDescent="0.3">
      <c r="A9" s="12" t="s">
        <v>54</v>
      </c>
      <c r="B9">
        <f ca="1">'Master Schedule'!E6</f>
        <v>-74</v>
      </c>
    </row>
    <row r="10" spans="1:8" x14ac:dyDescent="0.3">
      <c r="A10" s="12" t="s">
        <v>55</v>
      </c>
      <c r="B10" s="13">
        <f ca="1">'Master Schedule'!B6</f>
        <v>24.714285714285715</v>
      </c>
    </row>
    <row r="12" spans="1:8" x14ac:dyDescent="0.3">
      <c r="A12" s="12" t="s">
        <v>56</v>
      </c>
    </row>
    <row r="13" spans="1:8" x14ac:dyDescent="0.3">
      <c r="A13" s="15" t="s">
        <v>57</v>
      </c>
      <c r="B13" s="15" t="s">
        <v>58</v>
      </c>
      <c r="C13" s="15" t="s">
        <v>59</v>
      </c>
      <c r="D13" s="15" t="s">
        <v>60</v>
      </c>
      <c r="E13" s="15" t="s">
        <v>61</v>
      </c>
      <c r="F13" s="15" t="s">
        <v>62</v>
      </c>
    </row>
    <row r="14" spans="1:8" x14ac:dyDescent="0.3">
      <c r="A14" s="16" t="s">
        <v>63</v>
      </c>
      <c r="B14" s="16" t="s">
        <v>64</v>
      </c>
      <c r="C14" s="16">
        <f>'Master Schedule'!D13</f>
        <v>46101</v>
      </c>
      <c r="D14" s="16"/>
      <c r="E14" s="16" t="s">
        <v>35</v>
      </c>
      <c r="F14" s="16" t="s">
        <v>65</v>
      </c>
    </row>
    <row r="15" spans="1:8" x14ac:dyDescent="0.3">
      <c r="A15" s="16" t="s">
        <v>66</v>
      </c>
      <c r="B15" s="16" t="s">
        <v>67</v>
      </c>
      <c r="C15" s="16">
        <f>'Master Schedule'!D17</f>
        <v>46129</v>
      </c>
      <c r="D15" s="16"/>
      <c r="E15" s="16" t="s">
        <v>37</v>
      </c>
      <c r="F15" s="16" t="s">
        <v>68</v>
      </c>
    </row>
    <row r="16" spans="1:8" x14ac:dyDescent="0.3">
      <c r="A16" s="16" t="s">
        <v>69</v>
      </c>
      <c r="B16" s="16" t="s">
        <v>70</v>
      </c>
      <c r="C16" s="16">
        <f>'Master Schedule'!D18</f>
        <v>46136</v>
      </c>
      <c r="D16" s="16"/>
      <c r="E16" s="16" t="s">
        <v>39</v>
      </c>
      <c r="F16" s="16" t="s">
        <v>68</v>
      </c>
    </row>
    <row r="17" spans="1:6" x14ac:dyDescent="0.3">
      <c r="A17" s="16" t="s">
        <v>71</v>
      </c>
      <c r="B17" s="16" t="s">
        <v>72</v>
      </c>
      <c r="C17" s="16">
        <f>'Master Schedule'!D23</f>
        <v>46171</v>
      </c>
      <c r="D17" s="16"/>
      <c r="E17" s="16" t="s">
        <v>35</v>
      </c>
      <c r="F17" s="16" t="s">
        <v>73</v>
      </c>
    </row>
    <row r="19" spans="1:6" x14ac:dyDescent="0.3">
      <c r="A19" s="12" t="s">
        <v>74</v>
      </c>
    </row>
    <row r="20" spans="1:6" x14ac:dyDescent="0.3">
      <c r="A20" s="15" t="s">
        <v>75</v>
      </c>
      <c r="B20" s="15" t="s">
        <v>76</v>
      </c>
      <c r="C20" s="15" t="s">
        <v>77</v>
      </c>
      <c r="D20" s="15" t="s">
        <v>78</v>
      </c>
    </row>
    <row r="21" spans="1:6" x14ac:dyDescent="0.3">
      <c r="A21" s="16"/>
      <c r="B21" s="22">
        <v>46168</v>
      </c>
      <c r="C21" s="16" t="s">
        <v>79</v>
      </c>
      <c r="D21" s="16" t="s">
        <v>80</v>
      </c>
      <c r="E21" t="s">
        <v>81</v>
      </c>
    </row>
    <row r="22" spans="1:6" x14ac:dyDescent="0.3">
      <c r="A22" s="16"/>
      <c r="B22" s="16"/>
      <c r="C22" s="16"/>
      <c r="D22" s="16"/>
    </row>
    <row r="23" spans="1:6" x14ac:dyDescent="0.3">
      <c r="A23" s="16"/>
      <c r="B23" s="16"/>
      <c r="C23" s="16"/>
      <c r="D23" s="16"/>
    </row>
    <row r="24" spans="1:6" x14ac:dyDescent="0.3">
      <c r="A24" s="16"/>
      <c r="B24" s="16"/>
      <c r="C24" s="16"/>
      <c r="D24" s="16"/>
    </row>
    <row r="25" spans="1:6" x14ac:dyDescent="0.3">
      <c r="A25" s="16"/>
      <c r="B25" s="16"/>
      <c r="C25" s="16"/>
      <c r="D25" s="16"/>
    </row>
    <row r="26" spans="1:6" x14ac:dyDescent="0.3">
      <c r="A26" s="16"/>
      <c r="B26" s="16"/>
      <c r="C26" s="16"/>
      <c r="D26" s="16"/>
    </row>
  </sheetData>
  <mergeCells count="1">
    <mergeCell ref="A1:H1"/>
  </mergeCells>
  <dataValidations count="1">
    <dataValidation type="list" allowBlank="1" sqref="E14:E20" xr:uid="{00000000-0002-0000-0200-000000000000}">
      <formula1>"Not Started,In Progress,Complete,At Risk"</formula1>
    </dataValidation>
  </dataValidations>
  <pageMargins left="0.75" right="0.75" top="1" bottom="1" header="0.5" footer="0.5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5"/>
  <sheetViews>
    <sheetView showGridLines="0" tabSelected="1" topLeftCell="A17" workbookViewId="0">
      <pane ySplit="9" topLeftCell="A26" activePane="bottomLeft" state="frozen"/>
      <selection pane="bottomLeft" sqref="A1:F1"/>
    </sheetView>
  </sheetViews>
  <sheetFormatPr defaultRowHeight="14.4" x14ac:dyDescent="0.3"/>
  <cols>
    <col min="1" max="1" width="36" customWidth="1"/>
    <col min="2" max="2" width="12" customWidth="1"/>
    <col min="3" max="3" width="10" customWidth="1"/>
    <col min="4" max="5" width="12" customWidth="1"/>
    <col min="6" max="7" width="10" customWidth="1"/>
    <col min="8" max="9" width="12" customWidth="1"/>
    <col min="10" max="10" width="10" customWidth="1"/>
    <col min="11" max="11" width="12" customWidth="1"/>
    <col min="12" max="12" width="10" customWidth="1"/>
    <col min="13" max="13" width="14" customWidth="1"/>
    <col min="14" max="14" width="28" customWidth="1"/>
    <col min="15" max="15" width="32" customWidth="1"/>
    <col min="16" max="16" width="16" customWidth="1"/>
    <col min="17" max="18" width="10" customWidth="1"/>
    <col min="19" max="19" width="24" customWidth="1"/>
    <col min="20" max="33" width="4" customWidth="1"/>
  </cols>
  <sheetData>
    <row r="1" spans="1:33" ht="18" x14ac:dyDescent="0.35">
      <c r="A1" s="25" t="s">
        <v>82</v>
      </c>
      <c r="B1" s="26"/>
      <c r="C1" s="26"/>
      <c r="D1" s="26"/>
      <c r="E1" s="26"/>
      <c r="F1" s="26"/>
    </row>
    <row r="2" spans="1:33" x14ac:dyDescent="0.3">
      <c r="A2" s="12" t="s">
        <v>83</v>
      </c>
      <c r="B2" t="str">
        <f>'Project Setup'!B4</f>
        <v>Game Design Capstone - Project Plan</v>
      </c>
      <c r="D2" s="12" t="s">
        <v>25</v>
      </c>
      <c r="E2" t="str">
        <f>'Project Setup'!B3</f>
        <v>Office troll</v>
      </c>
    </row>
    <row r="3" spans="1:33" x14ac:dyDescent="0.3">
      <c r="A3" s="12" t="s">
        <v>84</v>
      </c>
      <c r="B3" s="2">
        <v>46080</v>
      </c>
      <c r="D3" s="12" t="s">
        <v>85</v>
      </c>
      <c r="E3" s="17">
        <v>46179</v>
      </c>
    </row>
    <row r="4" spans="1:33" x14ac:dyDescent="0.3">
      <c r="A4" s="12" t="s">
        <v>86</v>
      </c>
      <c r="B4" s="2">
        <f ca="1">TODAY()</f>
        <v>46253</v>
      </c>
      <c r="D4" s="12" t="s">
        <v>29</v>
      </c>
      <c r="E4" t="str">
        <f>'Project Setup'!B5</f>
        <v>Unity 6 / Windows PC</v>
      </c>
    </row>
    <row r="5" spans="1:33" x14ac:dyDescent="0.3">
      <c r="A5" s="12" t="s">
        <v>34</v>
      </c>
      <c r="B5" t="str">
        <f>'Project Setup'!B8</f>
        <v>Sechaba</v>
      </c>
      <c r="D5" s="12" t="s">
        <v>31</v>
      </c>
      <c r="E5" t="str">
        <f>'Project Setup'!B6</f>
        <v>https://github.com/sufyaanAlbertus/Work_Integrated_Learning_OfficeTroll.git</v>
      </c>
    </row>
    <row r="6" spans="1:33" x14ac:dyDescent="0.3">
      <c r="A6" s="12" t="s">
        <v>55</v>
      </c>
      <c r="B6" s="7">
        <f ca="1">(B4-B3)/7</f>
        <v>24.714285714285715</v>
      </c>
      <c r="D6" s="12" t="s">
        <v>54</v>
      </c>
      <c r="E6">
        <f ca="1">E3-B4</f>
        <v>-74</v>
      </c>
    </row>
    <row r="8" spans="1:33" s="3" customFormat="1" x14ac:dyDescent="0.3">
      <c r="T8" s="18">
        <f>B3</f>
        <v>46080</v>
      </c>
      <c r="U8" s="18">
        <f t="shared" ref="U8:AG8" si="0">T8+7</f>
        <v>46087</v>
      </c>
      <c r="V8" s="18">
        <f t="shared" si="0"/>
        <v>46094</v>
      </c>
      <c r="W8" s="18">
        <f t="shared" si="0"/>
        <v>46101</v>
      </c>
      <c r="X8" s="18">
        <f t="shared" si="0"/>
        <v>46108</v>
      </c>
      <c r="Y8" s="18">
        <f t="shared" si="0"/>
        <v>46115</v>
      </c>
      <c r="Z8" s="18">
        <f t="shared" si="0"/>
        <v>46122</v>
      </c>
      <c r="AA8" s="18">
        <f t="shared" si="0"/>
        <v>46129</v>
      </c>
      <c r="AB8" s="18">
        <f t="shared" si="0"/>
        <v>46136</v>
      </c>
      <c r="AC8" s="18">
        <f t="shared" si="0"/>
        <v>46143</v>
      </c>
      <c r="AD8" s="18">
        <f t="shared" si="0"/>
        <v>46150</v>
      </c>
      <c r="AE8" s="18">
        <f t="shared" si="0"/>
        <v>46157</v>
      </c>
      <c r="AF8" s="18">
        <f t="shared" si="0"/>
        <v>46164</v>
      </c>
      <c r="AG8" s="18">
        <f t="shared" si="0"/>
        <v>46171</v>
      </c>
    </row>
    <row r="9" spans="1:33" s="3" customFormat="1" ht="28.8" customHeight="1" x14ac:dyDescent="0.3">
      <c r="A9" s="15" t="s">
        <v>87</v>
      </c>
      <c r="B9" s="15" t="s">
        <v>88</v>
      </c>
      <c r="C9" s="15" t="s">
        <v>89</v>
      </c>
      <c r="D9" s="15" t="s">
        <v>90</v>
      </c>
      <c r="E9" s="15" t="s">
        <v>91</v>
      </c>
      <c r="F9" s="15" t="s">
        <v>92</v>
      </c>
      <c r="G9" s="15" t="s">
        <v>57</v>
      </c>
      <c r="H9" s="15" t="s">
        <v>93</v>
      </c>
      <c r="I9" s="15" t="s">
        <v>60</v>
      </c>
      <c r="J9" s="15" t="s">
        <v>94</v>
      </c>
      <c r="K9" s="15" t="s">
        <v>61</v>
      </c>
      <c r="L9" s="15" t="s">
        <v>95</v>
      </c>
      <c r="M9" s="15" t="s">
        <v>96</v>
      </c>
      <c r="N9" s="15" t="s">
        <v>97</v>
      </c>
      <c r="O9" s="15" t="s">
        <v>98</v>
      </c>
      <c r="P9" s="15" t="s">
        <v>99</v>
      </c>
      <c r="Q9" s="15" t="s">
        <v>100</v>
      </c>
      <c r="R9" s="15" t="s">
        <v>101</v>
      </c>
      <c r="S9" s="15" t="s">
        <v>102</v>
      </c>
      <c r="T9" s="19">
        <v>1</v>
      </c>
      <c r="U9" s="19">
        <f t="shared" ref="U9:AG9" si="1">T9+1</f>
        <v>2</v>
      </c>
      <c r="V9" s="19">
        <f t="shared" si="1"/>
        <v>3</v>
      </c>
      <c r="W9" s="19">
        <f t="shared" si="1"/>
        <v>4</v>
      </c>
      <c r="X9" s="19">
        <f t="shared" si="1"/>
        <v>5</v>
      </c>
      <c r="Y9" s="19">
        <f t="shared" si="1"/>
        <v>6</v>
      </c>
      <c r="Z9" s="19">
        <f t="shared" si="1"/>
        <v>7</v>
      </c>
      <c r="AA9" s="19">
        <f t="shared" si="1"/>
        <v>8</v>
      </c>
      <c r="AB9" s="19">
        <f t="shared" si="1"/>
        <v>9</v>
      </c>
      <c r="AC9" s="19">
        <f t="shared" si="1"/>
        <v>10</v>
      </c>
      <c r="AD9" s="19">
        <f t="shared" si="1"/>
        <v>11</v>
      </c>
      <c r="AE9" s="19">
        <f t="shared" si="1"/>
        <v>12</v>
      </c>
      <c r="AF9" s="19">
        <f t="shared" si="1"/>
        <v>13</v>
      </c>
      <c r="AG9" s="19">
        <f t="shared" si="1"/>
        <v>14</v>
      </c>
    </row>
    <row r="10" spans="1:33" ht="29.4" customHeight="1" thickBot="1" x14ac:dyDescent="0.35">
      <c r="A10" s="4" t="s">
        <v>103</v>
      </c>
      <c r="B10" s="5">
        <v>46080</v>
      </c>
      <c r="C10" s="4">
        <v>7</v>
      </c>
      <c r="D10" s="5">
        <v>46084</v>
      </c>
      <c r="E10" s="4">
        <f t="shared" ref="E10:E23" si="2">D10-B10</f>
        <v>4</v>
      </c>
      <c r="F10" s="6">
        <v>1</v>
      </c>
      <c r="G10" t="s">
        <v>63</v>
      </c>
      <c r="H10" t="s">
        <v>104</v>
      </c>
      <c r="I10" s="20" t="s">
        <v>35</v>
      </c>
      <c r="J10" t="s">
        <v>105</v>
      </c>
      <c r="K10" t="s">
        <v>65</v>
      </c>
      <c r="L10">
        <f t="shared" ref="L10:L23" si="3">F10</f>
        <v>1</v>
      </c>
      <c r="M10" t="s">
        <v>106</v>
      </c>
      <c r="N10" t="s">
        <v>107</v>
      </c>
      <c r="O10" t="s">
        <v>108</v>
      </c>
      <c r="P10" t="s">
        <v>109</v>
      </c>
      <c r="Q10">
        <v>16</v>
      </c>
      <c r="R10">
        <v>16</v>
      </c>
      <c r="S10" s="1"/>
      <c r="T10" s="8" t="str">
        <f t="shared" ref="T10:T23" si="4">IF(AND($T$8&gt;=$B10,$T$8&lt;=$D10),"█","")</f>
        <v>█</v>
      </c>
      <c r="U10" s="8" t="str">
        <f t="shared" ref="U10:U23" si="5">IF(AND($U$8&gt;=$B10,$U$8&lt;=$D10),"█","")</f>
        <v/>
      </c>
      <c r="V10" s="8" t="str">
        <f t="shared" ref="V10:V23" si="6">IF(AND($V$8&gt;=$B10,$V$8&lt;=$D10),"█","")</f>
        <v/>
      </c>
      <c r="W10" s="8" t="str">
        <f t="shared" ref="W10:W23" si="7">IF(AND($W$8&gt;=$B10,$W$8&lt;=$D10),"█","")</f>
        <v/>
      </c>
      <c r="X10" s="8" t="str">
        <f t="shared" ref="X10:X23" si="8">IF(AND($X$8&gt;=$B10,$X$8&lt;=$D10),"█","")</f>
        <v/>
      </c>
      <c r="Y10" s="8" t="str">
        <f t="shared" ref="Y10:Y23" si="9">IF(AND($Y$8&gt;=$B10,$Y$8&lt;=$D10),"█","")</f>
        <v/>
      </c>
      <c r="Z10" s="8" t="str">
        <f t="shared" ref="Z10:Z23" si="10">IF(AND($Z$8&gt;=$B10,$Z$8&lt;=$D10),"█","")</f>
        <v/>
      </c>
      <c r="AA10" s="8" t="str">
        <f t="shared" ref="AA10:AA23" si="11">IF(AND($AA$8&gt;=$B10,$AA$8&lt;=$D10),"█","")</f>
        <v/>
      </c>
      <c r="AB10" s="8" t="str">
        <f t="shared" ref="AB10:AB23" si="12">IF(AND($AB$8&gt;=$B10,$AB$8&lt;=$D10),"█","")</f>
        <v/>
      </c>
      <c r="AC10" s="8" t="str">
        <f t="shared" ref="AC10:AC23" si="13">IF(AND($AC$8&gt;=$B10,$AC$8&lt;=$D10),"█","")</f>
        <v/>
      </c>
      <c r="AD10" s="8" t="str">
        <f t="shared" ref="AD10:AD23" si="14">IF(AND($AD$8&gt;=$B10,$AD$8&lt;=$D10),"█","")</f>
        <v/>
      </c>
      <c r="AE10" s="8" t="str">
        <f t="shared" ref="AE10:AE23" si="15">IF(AND($AE$8&gt;=$B10,$AE$8&lt;=$D10),"█","")</f>
        <v/>
      </c>
      <c r="AF10" s="8" t="str">
        <f t="shared" ref="AF10:AF23" si="16">IF(AND($AF$8&gt;=$B10,$AF$8&lt;=$D10),"█","")</f>
        <v/>
      </c>
      <c r="AG10" s="8" t="str">
        <f t="shared" ref="AG10:AG23" si="17">IF(AND($AG$8&gt;=$B10,$AG$8&lt;=$D10),"█","")</f>
        <v/>
      </c>
    </row>
    <row r="11" spans="1:33" ht="27.6" customHeight="1" thickBot="1" x14ac:dyDescent="0.35">
      <c r="A11" s="10" t="s">
        <v>110</v>
      </c>
      <c r="B11" s="5">
        <f t="shared" ref="B11:B23" si="18">B10+5</f>
        <v>46085</v>
      </c>
      <c r="C11" s="4">
        <v>3</v>
      </c>
      <c r="D11" s="5">
        <f>D10+3</f>
        <v>46087</v>
      </c>
      <c r="E11" s="4">
        <f t="shared" si="2"/>
        <v>2</v>
      </c>
      <c r="F11" s="6">
        <v>1</v>
      </c>
      <c r="G11" t="s">
        <v>63</v>
      </c>
      <c r="H11" t="s">
        <v>111</v>
      </c>
      <c r="I11" s="20" t="s">
        <v>37</v>
      </c>
      <c r="J11" t="s">
        <v>112</v>
      </c>
      <c r="K11" t="s">
        <v>65</v>
      </c>
      <c r="L11">
        <f t="shared" si="3"/>
        <v>1</v>
      </c>
      <c r="M11" t="s">
        <v>113</v>
      </c>
      <c r="N11" t="s">
        <v>114</v>
      </c>
      <c r="O11" t="s">
        <v>115</v>
      </c>
      <c r="P11" t="s">
        <v>109</v>
      </c>
      <c r="Q11">
        <v>8</v>
      </c>
      <c r="R11">
        <v>8</v>
      </c>
      <c r="S11" s="1"/>
      <c r="T11" s="8" t="str">
        <f t="shared" si="4"/>
        <v/>
      </c>
      <c r="U11" s="8" t="str">
        <f t="shared" si="5"/>
        <v>█</v>
      </c>
      <c r="V11" s="8" t="str">
        <f t="shared" si="6"/>
        <v/>
      </c>
      <c r="W11" s="8" t="str">
        <f t="shared" si="7"/>
        <v/>
      </c>
      <c r="X11" s="8" t="str">
        <f t="shared" si="8"/>
        <v/>
      </c>
      <c r="Y11" s="8" t="str">
        <f t="shared" si="9"/>
        <v/>
      </c>
      <c r="Z11" s="8" t="str">
        <f t="shared" si="10"/>
        <v/>
      </c>
      <c r="AA11" s="8" t="str">
        <f t="shared" si="11"/>
        <v/>
      </c>
      <c r="AB11" s="8" t="str">
        <f t="shared" si="12"/>
        <v/>
      </c>
      <c r="AC11" s="8" t="str">
        <f t="shared" si="13"/>
        <v/>
      </c>
      <c r="AD11" s="8" t="str">
        <f t="shared" si="14"/>
        <v/>
      </c>
      <c r="AE11" s="8" t="str">
        <f t="shared" si="15"/>
        <v/>
      </c>
      <c r="AF11" s="8" t="str">
        <f t="shared" si="16"/>
        <v/>
      </c>
      <c r="AG11" s="8" t="str">
        <f t="shared" si="17"/>
        <v/>
      </c>
    </row>
    <row r="12" spans="1:33" ht="30" customHeight="1" thickBot="1" x14ac:dyDescent="0.35">
      <c r="A12" s="10" t="s">
        <v>116</v>
      </c>
      <c r="B12" s="5">
        <f t="shared" si="18"/>
        <v>46090</v>
      </c>
      <c r="C12" s="4">
        <v>2</v>
      </c>
      <c r="D12" s="5">
        <f t="shared" ref="D12:D23" si="19">D11+7</f>
        <v>46094</v>
      </c>
      <c r="E12" s="4">
        <f t="shared" si="2"/>
        <v>4</v>
      </c>
      <c r="F12" s="6">
        <v>1</v>
      </c>
      <c r="G12" t="s">
        <v>63</v>
      </c>
      <c r="H12" t="s">
        <v>117</v>
      </c>
      <c r="I12" s="20" t="s">
        <v>37</v>
      </c>
      <c r="J12" t="s">
        <v>112</v>
      </c>
      <c r="K12" t="s">
        <v>65</v>
      </c>
      <c r="L12">
        <f t="shared" si="3"/>
        <v>1</v>
      </c>
      <c r="M12" t="s">
        <v>118</v>
      </c>
      <c r="N12" t="s">
        <v>119</v>
      </c>
      <c r="O12" t="s">
        <v>120</v>
      </c>
      <c r="P12" t="s">
        <v>109</v>
      </c>
      <c r="Q12">
        <v>6</v>
      </c>
      <c r="R12">
        <v>6</v>
      </c>
      <c r="S12" s="1"/>
      <c r="T12" s="8" t="str">
        <f t="shared" si="4"/>
        <v/>
      </c>
      <c r="U12" s="8" t="str">
        <f t="shared" si="5"/>
        <v/>
      </c>
      <c r="V12" s="8" t="str">
        <f t="shared" si="6"/>
        <v>█</v>
      </c>
      <c r="W12" s="8" t="str">
        <f t="shared" si="7"/>
        <v/>
      </c>
      <c r="X12" s="8" t="str">
        <f t="shared" si="8"/>
        <v/>
      </c>
      <c r="Y12" s="8" t="str">
        <f t="shared" si="9"/>
        <v/>
      </c>
      <c r="Z12" s="8" t="str">
        <f t="shared" si="10"/>
        <v/>
      </c>
      <c r="AA12" s="8" t="str">
        <f t="shared" si="11"/>
        <v/>
      </c>
      <c r="AB12" s="8" t="str">
        <f t="shared" si="12"/>
        <v/>
      </c>
      <c r="AC12" s="8" t="str">
        <f t="shared" si="13"/>
        <v/>
      </c>
      <c r="AD12" s="8" t="str">
        <f t="shared" si="14"/>
        <v/>
      </c>
      <c r="AE12" s="8" t="str">
        <f t="shared" si="15"/>
        <v/>
      </c>
      <c r="AF12" s="8" t="str">
        <f t="shared" si="16"/>
        <v/>
      </c>
      <c r="AG12" s="8" t="str">
        <f t="shared" si="17"/>
        <v/>
      </c>
    </row>
    <row r="13" spans="1:33" ht="43.8" customHeight="1" thickBot="1" x14ac:dyDescent="0.35">
      <c r="A13" s="10" t="s">
        <v>121</v>
      </c>
      <c r="B13" s="5">
        <f t="shared" si="18"/>
        <v>46095</v>
      </c>
      <c r="C13" s="4">
        <v>5</v>
      </c>
      <c r="D13" s="5">
        <f t="shared" si="19"/>
        <v>46101</v>
      </c>
      <c r="E13" s="4">
        <f t="shared" si="2"/>
        <v>6</v>
      </c>
      <c r="F13" s="6">
        <v>1</v>
      </c>
      <c r="G13" t="s">
        <v>63</v>
      </c>
      <c r="H13" t="s">
        <v>122</v>
      </c>
      <c r="I13" s="20" t="s">
        <v>35</v>
      </c>
      <c r="J13" t="s">
        <v>123</v>
      </c>
      <c r="K13" t="s">
        <v>65</v>
      </c>
      <c r="L13">
        <f t="shared" si="3"/>
        <v>1</v>
      </c>
      <c r="M13" t="s">
        <v>124</v>
      </c>
      <c r="N13" t="s">
        <v>125</v>
      </c>
      <c r="O13" t="s">
        <v>126</v>
      </c>
      <c r="P13" t="s">
        <v>109</v>
      </c>
      <c r="Q13">
        <v>10</v>
      </c>
      <c r="R13">
        <v>10</v>
      </c>
      <c r="S13" s="1" t="s">
        <v>127</v>
      </c>
      <c r="T13" s="8" t="str">
        <f t="shared" si="4"/>
        <v/>
      </c>
      <c r="U13" s="8" t="str">
        <f t="shared" si="5"/>
        <v/>
      </c>
      <c r="V13" s="8" t="str">
        <f t="shared" si="6"/>
        <v/>
      </c>
      <c r="W13" s="8" t="str">
        <f t="shared" si="7"/>
        <v>█</v>
      </c>
      <c r="X13" s="8" t="str">
        <f t="shared" si="8"/>
        <v/>
      </c>
      <c r="Y13" s="8" t="str">
        <f t="shared" si="9"/>
        <v/>
      </c>
      <c r="Z13" s="8" t="str">
        <f t="shared" si="10"/>
        <v/>
      </c>
      <c r="AA13" s="8" t="str">
        <f t="shared" si="11"/>
        <v/>
      </c>
      <c r="AB13" s="8" t="str">
        <f t="shared" si="12"/>
        <v/>
      </c>
      <c r="AC13" s="8" t="str">
        <f t="shared" si="13"/>
        <v/>
      </c>
      <c r="AD13" s="8" t="str">
        <f t="shared" si="14"/>
        <v/>
      </c>
      <c r="AE13" s="8" t="str">
        <f t="shared" si="15"/>
        <v/>
      </c>
      <c r="AF13" s="8" t="str">
        <f t="shared" si="16"/>
        <v/>
      </c>
      <c r="AG13" s="8" t="str">
        <f t="shared" si="17"/>
        <v/>
      </c>
    </row>
    <row r="14" spans="1:33" ht="43.2" customHeight="1" thickBot="1" x14ac:dyDescent="0.35">
      <c r="A14" s="10" t="s">
        <v>128</v>
      </c>
      <c r="B14" s="5">
        <f t="shared" si="18"/>
        <v>46100</v>
      </c>
      <c r="C14" s="4">
        <v>12</v>
      </c>
      <c r="D14" s="5">
        <f t="shared" si="19"/>
        <v>46108</v>
      </c>
      <c r="E14" s="4">
        <f t="shared" si="2"/>
        <v>8</v>
      </c>
      <c r="F14" s="6">
        <v>0.85</v>
      </c>
      <c r="G14" t="s">
        <v>66</v>
      </c>
      <c r="H14" t="s">
        <v>117</v>
      </c>
      <c r="I14" s="20" t="s">
        <v>35</v>
      </c>
      <c r="J14" t="s">
        <v>105</v>
      </c>
      <c r="K14" t="s">
        <v>129</v>
      </c>
      <c r="L14">
        <f t="shared" si="3"/>
        <v>0.85</v>
      </c>
      <c r="M14" t="s">
        <v>130</v>
      </c>
      <c r="N14" t="s">
        <v>131</v>
      </c>
      <c r="O14" t="s">
        <v>132</v>
      </c>
      <c r="P14" t="s">
        <v>109</v>
      </c>
      <c r="Q14">
        <v>24</v>
      </c>
      <c r="R14">
        <v>20</v>
      </c>
      <c r="S14" s="1"/>
      <c r="T14" s="8" t="str">
        <f t="shared" si="4"/>
        <v/>
      </c>
      <c r="U14" s="8" t="str">
        <f t="shared" si="5"/>
        <v/>
      </c>
      <c r="V14" s="8" t="str">
        <f t="shared" si="6"/>
        <v/>
      </c>
      <c r="W14" s="8" t="str">
        <f t="shared" si="7"/>
        <v>█</v>
      </c>
      <c r="X14" s="8" t="str">
        <f t="shared" si="8"/>
        <v>█</v>
      </c>
      <c r="Y14" s="8" t="str">
        <f t="shared" si="9"/>
        <v/>
      </c>
      <c r="Z14" s="8" t="str">
        <f t="shared" si="10"/>
        <v/>
      </c>
      <c r="AA14" s="8" t="str">
        <f t="shared" si="11"/>
        <v/>
      </c>
      <c r="AB14" s="8" t="str">
        <f t="shared" si="12"/>
        <v/>
      </c>
      <c r="AC14" s="8" t="str">
        <f t="shared" si="13"/>
        <v/>
      </c>
      <c r="AD14" s="8" t="str">
        <f t="shared" si="14"/>
        <v/>
      </c>
      <c r="AE14" s="8" t="str">
        <f t="shared" si="15"/>
        <v/>
      </c>
      <c r="AF14" s="8" t="str">
        <f t="shared" si="16"/>
        <v/>
      </c>
      <c r="AG14" s="8" t="str">
        <f t="shared" si="17"/>
        <v/>
      </c>
    </row>
    <row r="15" spans="1:33" ht="27.6" customHeight="1" thickBot="1" x14ac:dyDescent="0.35">
      <c r="A15" s="10" t="s">
        <v>133</v>
      </c>
      <c r="B15" s="5">
        <f t="shared" si="18"/>
        <v>46105</v>
      </c>
      <c r="C15" s="4">
        <v>17</v>
      </c>
      <c r="D15" s="5">
        <f t="shared" si="19"/>
        <v>46115</v>
      </c>
      <c r="E15" s="4">
        <f t="shared" si="2"/>
        <v>10</v>
      </c>
      <c r="F15" s="6">
        <v>0.9</v>
      </c>
      <c r="G15" t="s">
        <v>66</v>
      </c>
      <c r="H15" t="s">
        <v>117</v>
      </c>
      <c r="I15" s="20" t="s">
        <v>37</v>
      </c>
      <c r="J15" t="s">
        <v>112</v>
      </c>
      <c r="K15" t="s">
        <v>129</v>
      </c>
      <c r="L15">
        <f t="shared" si="3"/>
        <v>0.9</v>
      </c>
      <c r="M15" t="s">
        <v>134</v>
      </c>
      <c r="N15" t="s">
        <v>135</v>
      </c>
      <c r="O15" t="s">
        <v>136</v>
      </c>
      <c r="P15" t="s">
        <v>109</v>
      </c>
      <c r="Q15">
        <v>40</v>
      </c>
      <c r="R15">
        <v>36</v>
      </c>
      <c r="S15" s="1"/>
      <c r="T15" s="8" t="str">
        <f t="shared" si="4"/>
        <v/>
      </c>
      <c r="U15" s="8" t="str">
        <f t="shared" si="5"/>
        <v/>
      </c>
      <c r="V15" s="8" t="str">
        <f t="shared" si="6"/>
        <v/>
      </c>
      <c r="W15" s="8" t="str">
        <f t="shared" si="7"/>
        <v/>
      </c>
      <c r="X15" s="8" t="str">
        <f t="shared" si="8"/>
        <v>█</v>
      </c>
      <c r="Y15" s="8" t="str">
        <f t="shared" si="9"/>
        <v>█</v>
      </c>
      <c r="Z15" s="8" t="str">
        <f t="shared" si="10"/>
        <v/>
      </c>
      <c r="AA15" s="8" t="str">
        <f t="shared" si="11"/>
        <v/>
      </c>
      <c r="AB15" s="8" t="str">
        <f t="shared" si="12"/>
        <v/>
      </c>
      <c r="AC15" s="8" t="str">
        <f t="shared" si="13"/>
        <v/>
      </c>
      <c r="AD15" s="8" t="str">
        <f t="shared" si="14"/>
        <v/>
      </c>
      <c r="AE15" s="8" t="str">
        <f t="shared" si="15"/>
        <v/>
      </c>
      <c r="AF15" s="8" t="str">
        <f t="shared" si="16"/>
        <v/>
      </c>
      <c r="AG15" s="8" t="str">
        <f t="shared" si="17"/>
        <v/>
      </c>
    </row>
    <row r="16" spans="1:33" ht="27.6" customHeight="1" thickBot="1" x14ac:dyDescent="0.35">
      <c r="A16" s="10" t="s">
        <v>137</v>
      </c>
      <c r="B16" s="5">
        <f t="shared" si="18"/>
        <v>46110</v>
      </c>
      <c r="C16" s="4">
        <v>6</v>
      </c>
      <c r="D16" s="5">
        <f t="shared" si="19"/>
        <v>46122</v>
      </c>
      <c r="E16" s="4">
        <f t="shared" si="2"/>
        <v>12</v>
      </c>
      <c r="F16" s="6">
        <v>0.75</v>
      </c>
      <c r="G16" t="s">
        <v>66</v>
      </c>
      <c r="H16" t="s">
        <v>138</v>
      </c>
      <c r="I16" s="20" t="s">
        <v>37</v>
      </c>
      <c r="J16" t="s">
        <v>112</v>
      </c>
      <c r="K16" t="s">
        <v>68</v>
      </c>
      <c r="L16">
        <f t="shared" si="3"/>
        <v>0.75</v>
      </c>
      <c r="M16" t="s">
        <v>139</v>
      </c>
      <c r="N16" t="s">
        <v>140</v>
      </c>
      <c r="O16" t="s">
        <v>141</v>
      </c>
      <c r="P16" t="s">
        <v>109</v>
      </c>
      <c r="Q16">
        <v>16</v>
      </c>
      <c r="R16">
        <v>12</v>
      </c>
      <c r="S16" s="1" t="s">
        <v>142</v>
      </c>
      <c r="T16" s="8" t="str">
        <f t="shared" si="4"/>
        <v/>
      </c>
      <c r="U16" s="8" t="str">
        <f t="shared" si="5"/>
        <v/>
      </c>
      <c r="V16" s="8" t="str">
        <f t="shared" si="6"/>
        <v/>
      </c>
      <c r="W16" s="8" t="str">
        <f t="shared" si="7"/>
        <v/>
      </c>
      <c r="X16" s="8" t="str">
        <f t="shared" si="8"/>
        <v/>
      </c>
      <c r="Y16" s="8" t="str">
        <f t="shared" si="9"/>
        <v>█</v>
      </c>
      <c r="Z16" s="8" t="str">
        <f t="shared" si="10"/>
        <v>█</v>
      </c>
      <c r="AA16" s="8" t="str">
        <f t="shared" si="11"/>
        <v/>
      </c>
      <c r="AB16" s="8" t="str">
        <f t="shared" si="12"/>
        <v/>
      </c>
      <c r="AC16" s="8" t="str">
        <f t="shared" si="13"/>
        <v/>
      </c>
      <c r="AD16" s="8" t="str">
        <f t="shared" si="14"/>
        <v/>
      </c>
      <c r="AE16" s="8" t="str">
        <f t="shared" si="15"/>
        <v/>
      </c>
      <c r="AF16" s="8" t="str">
        <f t="shared" si="16"/>
        <v/>
      </c>
      <c r="AG16" s="8" t="str">
        <f t="shared" si="17"/>
        <v/>
      </c>
    </row>
    <row r="17" spans="1:33" ht="27.6" customHeight="1" thickBot="1" x14ac:dyDescent="0.35">
      <c r="A17" s="10" t="s">
        <v>143</v>
      </c>
      <c r="B17" s="5">
        <f t="shared" si="18"/>
        <v>46115</v>
      </c>
      <c r="C17" s="4">
        <v>10</v>
      </c>
      <c r="D17" s="5">
        <f t="shared" si="19"/>
        <v>46129</v>
      </c>
      <c r="E17" s="4">
        <f t="shared" si="2"/>
        <v>14</v>
      </c>
      <c r="F17" s="6">
        <v>0.7</v>
      </c>
      <c r="G17" t="s">
        <v>66</v>
      </c>
      <c r="H17" t="s">
        <v>144</v>
      </c>
      <c r="I17" s="20" t="s">
        <v>38</v>
      </c>
      <c r="J17" t="s">
        <v>123</v>
      </c>
      <c r="K17" t="s">
        <v>68</v>
      </c>
      <c r="L17">
        <f t="shared" si="3"/>
        <v>0.7</v>
      </c>
      <c r="M17" t="s">
        <v>145</v>
      </c>
      <c r="N17" t="s">
        <v>146</v>
      </c>
      <c r="O17" t="s">
        <v>147</v>
      </c>
      <c r="P17" t="s">
        <v>109</v>
      </c>
      <c r="Q17">
        <v>32</v>
      </c>
      <c r="R17">
        <v>22</v>
      </c>
      <c r="S17" s="1"/>
      <c r="T17" s="8" t="str">
        <f t="shared" si="4"/>
        <v/>
      </c>
      <c r="U17" s="8" t="str">
        <f t="shared" si="5"/>
        <v/>
      </c>
      <c r="V17" s="8" t="str">
        <f t="shared" si="6"/>
        <v/>
      </c>
      <c r="W17" s="8" t="str">
        <f t="shared" si="7"/>
        <v/>
      </c>
      <c r="X17" s="8" t="str">
        <f t="shared" si="8"/>
        <v/>
      </c>
      <c r="Y17" s="8" t="str">
        <f t="shared" si="9"/>
        <v>█</v>
      </c>
      <c r="Z17" s="8" t="str">
        <f t="shared" si="10"/>
        <v>█</v>
      </c>
      <c r="AA17" s="8" t="str">
        <f t="shared" si="11"/>
        <v>█</v>
      </c>
      <c r="AB17" s="8" t="str">
        <f t="shared" si="12"/>
        <v/>
      </c>
      <c r="AC17" s="8" t="str">
        <f t="shared" si="13"/>
        <v/>
      </c>
      <c r="AD17" s="8" t="str">
        <f t="shared" si="14"/>
        <v/>
      </c>
      <c r="AE17" s="8" t="str">
        <f t="shared" si="15"/>
        <v/>
      </c>
      <c r="AF17" s="8" t="str">
        <f t="shared" si="16"/>
        <v/>
      </c>
      <c r="AG17" s="8" t="str">
        <f t="shared" si="17"/>
        <v/>
      </c>
    </row>
    <row r="18" spans="1:33" ht="27.6" customHeight="1" thickBot="1" x14ac:dyDescent="0.35">
      <c r="A18" s="10" t="s">
        <v>148</v>
      </c>
      <c r="B18" s="5">
        <f t="shared" si="18"/>
        <v>46120</v>
      </c>
      <c r="C18" s="4">
        <v>3</v>
      </c>
      <c r="D18" s="5">
        <f t="shared" si="19"/>
        <v>46136</v>
      </c>
      <c r="E18" s="4">
        <f t="shared" si="2"/>
        <v>16</v>
      </c>
      <c r="F18" s="6">
        <v>0.5</v>
      </c>
      <c r="G18" t="s">
        <v>66</v>
      </c>
      <c r="H18" t="s">
        <v>122</v>
      </c>
      <c r="I18" s="20" t="s">
        <v>35</v>
      </c>
      <c r="J18" t="s">
        <v>105</v>
      </c>
      <c r="K18" t="s">
        <v>68</v>
      </c>
      <c r="L18">
        <f t="shared" si="3"/>
        <v>0.5</v>
      </c>
      <c r="M18" t="s">
        <v>149</v>
      </c>
      <c r="N18" t="s">
        <v>150</v>
      </c>
      <c r="O18" t="s">
        <v>151</v>
      </c>
      <c r="P18" t="s">
        <v>109</v>
      </c>
      <c r="Q18">
        <v>8</v>
      </c>
      <c r="R18">
        <v>4</v>
      </c>
      <c r="S18" t="s">
        <v>152</v>
      </c>
      <c r="T18" s="9" t="str">
        <f t="shared" si="4"/>
        <v/>
      </c>
      <c r="U18" s="8" t="str">
        <f t="shared" si="5"/>
        <v/>
      </c>
      <c r="V18" s="8" t="str">
        <f t="shared" si="6"/>
        <v/>
      </c>
      <c r="W18" s="8" t="str">
        <f t="shared" si="7"/>
        <v/>
      </c>
      <c r="X18" s="8" t="str">
        <f t="shared" si="8"/>
        <v/>
      </c>
      <c r="Y18" s="8" t="str">
        <f t="shared" si="9"/>
        <v/>
      </c>
      <c r="Z18" s="8" t="str">
        <f t="shared" si="10"/>
        <v>█</v>
      </c>
      <c r="AA18" s="8" t="str">
        <f t="shared" si="11"/>
        <v>█</v>
      </c>
      <c r="AB18" s="8" t="str">
        <f t="shared" si="12"/>
        <v>█</v>
      </c>
      <c r="AC18" s="8" t="str">
        <f t="shared" si="13"/>
        <v/>
      </c>
      <c r="AD18" s="8" t="str">
        <f t="shared" si="14"/>
        <v/>
      </c>
      <c r="AE18" s="8" t="str">
        <f t="shared" si="15"/>
        <v/>
      </c>
      <c r="AF18" s="8" t="str">
        <f t="shared" si="16"/>
        <v/>
      </c>
      <c r="AG18" s="8" t="str">
        <f t="shared" si="17"/>
        <v/>
      </c>
    </row>
    <row r="19" spans="1:33" ht="27.6" customHeight="1" thickBot="1" x14ac:dyDescent="0.35">
      <c r="A19" s="10" t="s">
        <v>153</v>
      </c>
      <c r="B19" s="5">
        <f t="shared" si="18"/>
        <v>46125</v>
      </c>
      <c r="C19" s="4">
        <v>4</v>
      </c>
      <c r="D19" s="5">
        <f t="shared" si="19"/>
        <v>46143</v>
      </c>
      <c r="E19" s="4">
        <f t="shared" si="2"/>
        <v>18</v>
      </c>
      <c r="F19" s="6">
        <v>0.4</v>
      </c>
      <c r="G19" t="s">
        <v>69</v>
      </c>
      <c r="H19" t="s">
        <v>104</v>
      </c>
      <c r="I19" s="20" t="s">
        <v>35</v>
      </c>
      <c r="J19" t="s">
        <v>105</v>
      </c>
      <c r="K19" t="s">
        <v>68</v>
      </c>
      <c r="L19">
        <f t="shared" si="3"/>
        <v>0.4</v>
      </c>
      <c r="M19" t="s">
        <v>154</v>
      </c>
      <c r="N19" t="s">
        <v>155</v>
      </c>
      <c r="O19" t="s">
        <v>156</v>
      </c>
      <c r="P19" t="s">
        <v>109</v>
      </c>
      <c r="Q19">
        <v>56</v>
      </c>
      <c r="R19">
        <v>8</v>
      </c>
      <c r="T19" s="9" t="str">
        <f t="shared" si="4"/>
        <v/>
      </c>
      <c r="U19" s="8" t="str">
        <f t="shared" si="5"/>
        <v/>
      </c>
      <c r="V19" s="8" t="str">
        <f t="shared" si="6"/>
        <v/>
      </c>
      <c r="W19" s="8" t="str">
        <f t="shared" si="7"/>
        <v/>
      </c>
      <c r="X19" s="8" t="str">
        <f t="shared" si="8"/>
        <v/>
      </c>
      <c r="Y19" s="8" t="str">
        <f t="shared" si="9"/>
        <v/>
      </c>
      <c r="Z19" s="8" t="str">
        <f t="shared" si="10"/>
        <v/>
      </c>
      <c r="AA19" s="8" t="str">
        <f t="shared" si="11"/>
        <v>█</v>
      </c>
      <c r="AB19" s="8" t="str">
        <f t="shared" si="12"/>
        <v>█</v>
      </c>
      <c r="AC19" s="8" t="str">
        <f t="shared" si="13"/>
        <v>█</v>
      </c>
      <c r="AD19" s="8" t="str">
        <f t="shared" si="14"/>
        <v/>
      </c>
      <c r="AE19" s="8" t="str">
        <f t="shared" si="15"/>
        <v/>
      </c>
      <c r="AF19" s="8" t="str">
        <f t="shared" si="16"/>
        <v/>
      </c>
      <c r="AG19" s="8" t="str">
        <f t="shared" si="17"/>
        <v/>
      </c>
    </row>
    <row r="20" spans="1:33" ht="27.6" customHeight="1" thickBot="1" x14ac:dyDescent="0.35">
      <c r="A20" s="10" t="s">
        <v>157</v>
      </c>
      <c r="B20" s="5">
        <f t="shared" si="18"/>
        <v>46130</v>
      </c>
      <c r="C20" s="4">
        <v>14</v>
      </c>
      <c r="D20" s="5">
        <f t="shared" si="19"/>
        <v>46150</v>
      </c>
      <c r="E20" s="4">
        <f t="shared" si="2"/>
        <v>20</v>
      </c>
      <c r="F20" s="6">
        <v>0.25</v>
      </c>
      <c r="G20" t="s">
        <v>69</v>
      </c>
      <c r="H20" t="s">
        <v>158</v>
      </c>
      <c r="I20" s="20" t="s">
        <v>39</v>
      </c>
      <c r="J20" t="s">
        <v>112</v>
      </c>
      <c r="K20" t="s">
        <v>68</v>
      </c>
      <c r="L20">
        <f t="shared" si="3"/>
        <v>0.25</v>
      </c>
      <c r="M20" t="s">
        <v>159</v>
      </c>
      <c r="N20" t="s">
        <v>160</v>
      </c>
      <c r="O20" t="s">
        <v>161</v>
      </c>
      <c r="P20" t="s">
        <v>109</v>
      </c>
      <c r="Q20">
        <v>8</v>
      </c>
      <c r="R20">
        <v>14</v>
      </c>
      <c r="S20" t="s">
        <v>162</v>
      </c>
      <c r="T20" s="9" t="str">
        <f t="shared" si="4"/>
        <v/>
      </c>
      <c r="U20" s="8" t="str">
        <f t="shared" si="5"/>
        <v/>
      </c>
      <c r="V20" s="8" t="str">
        <f t="shared" si="6"/>
        <v/>
      </c>
      <c r="W20" s="8" t="str">
        <f t="shared" si="7"/>
        <v/>
      </c>
      <c r="X20" s="8" t="str">
        <f t="shared" si="8"/>
        <v/>
      </c>
      <c r="Y20" s="8" t="str">
        <f t="shared" si="9"/>
        <v/>
      </c>
      <c r="Z20" s="8" t="str">
        <f t="shared" si="10"/>
        <v/>
      </c>
      <c r="AA20" s="8" t="str">
        <f t="shared" si="11"/>
        <v/>
      </c>
      <c r="AB20" s="8" t="str">
        <f t="shared" si="12"/>
        <v>█</v>
      </c>
      <c r="AC20" s="8" t="str">
        <f t="shared" si="13"/>
        <v>█</v>
      </c>
      <c r="AD20" s="8" t="str">
        <f t="shared" si="14"/>
        <v>█</v>
      </c>
      <c r="AE20" s="8" t="str">
        <f t="shared" si="15"/>
        <v/>
      </c>
      <c r="AF20" s="8" t="str">
        <f t="shared" si="16"/>
        <v/>
      </c>
      <c r="AG20" s="8" t="str">
        <f t="shared" si="17"/>
        <v/>
      </c>
    </row>
    <row r="21" spans="1:33" ht="27.6" customHeight="1" thickBot="1" x14ac:dyDescent="0.35">
      <c r="A21" s="10" t="s">
        <v>163</v>
      </c>
      <c r="B21" s="5">
        <f t="shared" si="18"/>
        <v>46135</v>
      </c>
      <c r="C21" s="4">
        <v>2</v>
      </c>
      <c r="D21" s="5">
        <f t="shared" si="19"/>
        <v>46157</v>
      </c>
      <c r="E21" s="4">
        <f t="shared" si="2"/>
        <v>22</v>
      </c>
      <c r="F21" s="6">
        <v>0.1</v>
      </c>
      <c r="G21" t="s">
        <v>69</v>
      </c>
      <c r="H21" t="s">
        <v>104</v>
      </c>
      <c r="I21" s="20" t="s">
        <v>35</v>
      </c>
      <c r="J21" t="s">
        <v>112</v>
      </c>
      <c r="K21" t="s">
        <v>73</v>
      </c>
      <c r="L21">
        <f t="shared" si="3"/>
        <v>0.1</v>
      </c>
      <c r="M21" t="s">
        <v>164</v>
      </c>
      <c r="N21" t="s">
        <v>165</v>
      </c>
      <c r="O21" t="s">
        <v>166</v>
      </c>
      <c r="P21" t="s">
        <v>109</v>
      </c>
      <c r="Q21">
        <v>4</v>
      </c>
      <c r="R21">
        <v>0</v>
      </c>
      <c r="T21" s="9" t="str">
        <f t="shared" si="4"/>
        <v/>
      </c>
      <c r="U21" s="8" t="str">
        <f t="shared" si="5"/>
        <v/>
      </c>
      <c r="V21" s="8" t="str">
        <f t="shared" si="6"/>
        <v/>
      </c>
      <c r="W21" s="8" t="str">
        <f t="shared" si="7"/>
        <v/>
      </c>
      <c r="X21" s="8" t="str">
        <f t="shared" si="8"/>
        <v/>
      </c>
      <c r="Y21" s="8" t="str">
        <f t="shared" si="9"/>
        <v/>
      </c>
      <c r="Z21" s="8" t="str">
        <f t="shared" si="10"/>
        <v/>
      </c>
      <c r="AA21" s="8" t="str">
        <f t="shared" si="11"/>
        <v/>
      </c>
      <c r="AB21" s="8" t="str">
        <f t="shared" si="12"/>
        <v>█</v>
      </c>
      <c r="AC21" s="8" t="str">
        <f t="shared" si="13"/>
        <v>█</v>
      </c>
      <c r="AD21" s="8" t="str">
        <f t="shared" si="14"/>
        <v>█</v>
      </c>
      <c r="AE21" s="8" t="str">
        <f t="shared" si="15"/>
        <v>█</v>
      </c>
      <c r="AF21" s="8" t="str">
        <f t="shared" si="16"/>
        <v/>
      </c>
      <c r="AG21" s="8" t="str">
        <f t="shared" si="17"/>
        <v/>
      </c>
    </row>
    <row r="22" spans="1:33" ht="27.6" customHeight="1" thickBot="1" x14ac:dyDescent="0.35">
      <c r="A22" s="10" t="s">
        <v>167</v>
      </c>
      <c r="B22" s="5">
        <f t="shared" si="18"/>
        <v>46140</v>
      </c>
      <c r="C22" s="4">
        <v>1</v>
      </c>
      <c r="D22" s="5">
        <f t="shared" si="19"/>
        <v>46164</v>
      </c>
      <c r="E22" s="4">
        <f t="shared" si="2"/>
        <v>24</v>
      </c>
      <c r="F22" s="6">
        <v>0</v>
      </c>
      <c r="G22" t="s">
        <v>69</v>
      </c>
      <c r="H22" t="s">
        <v>168</v>
      </c>
      <c r="I22" s="20" t="s">
        <v>37</v>
      </c>
      <c r="J22" t="s">
        <v>123</v>
      </c>
      <c r="K22" t="s">
        <v>73</v>
      </c>
      <c r="L22">
        <f t="shared" si="3"/>
        <v>0</v>
      </c>
      <c r="M22" t="s">
        <v>169</v>
      </c>
      <c r="N22" t="s">
        <v>72</v>
      </c>
      <c r="O22" t="s">
        <v>170</v>
      </c>
      <c r="P22" t="s">
        <v>109</v>
      </c>
      <c r="Q22">
        <v>4</v>
      </c>
      <c r="R22">
        <v>0</v>
      </c>
      <c r="T22" s="9" t="str">
        <f t="shared" si="4"/>
        <v/>
      </c>
      <c r="U22" s="8" t="str">
        <f t="shared" si="5"/>
        <v/>
      </c>
      <c r="V22" s="8" t="str">
        <f t="shared" si="6"/>
        <v/>
      </c>
      <c r="W22" s="8" t="str">
        <f t="shared" si="7"/>
        <v/>
      </c>
      <c r="X22" s="8" t="str">
        <f t="shared" si="8"/>
        <v/>
      </c>
      <c r="Y22" s="8" t="str">
        <f t="shared" si="9"/>
        <v/>
      </c>
      <c r="Z22" s="8" t="str">
        <f t="shared" si="10"/>
        <v/>
      </c>
      <c r="AA22" s="8" t="str">
        <f t="shared" si="11"/>
        <v/>
      </c>
      <c r="AB22" s="8" t="str">
        <f t="shared" si="12"/>
        <v/>
      </c>
      <c r="AC22" s="8" t="str">
        <f t="shared" si="13"/>
        <v>█</v>
      </c>
      <c r="AD22" s="8" t="str">
        <f t="shared" si="14"/>
        <v>█</v>
      </c>
      <c r="AE22" s="8" t="str">
        <f t="shared" si="15"/>
        <v>█</v>
      </c>
      <c r="AF22" s="8" t="str">
        <f t="shared" si="16"/>
        <v>█</v>
      </c>
      <c r="AG22" s="8" t="str">
        <f t="shared" si="17"/>
        <v/>
      </c>
    </row>
    <row r="23" spans="1:33" ht="27.6" customHeight="1" thickBot="1" x14ac:dyDescent="0.35">
      <c r="A23" s="10" t="s">
        <v>171</v>
      </c>
      <c r="B23" s="5">
        <f t="shared" si="18"/>
        <v>46145</v>
      </c>
      <c r="C23" s="4">
        <v>2</v>
      </c>
      <c r="D23" s="5">
        <f t="shared" si="19"/>
        <v>46171</v>
      </c>
      <c r="E23" s="4">
        <f t="shared" si="2"/>
        <v>26</v>
      </c>
      <c r="F23" s="6">
        <v>0</v>
      </c>
      <c r="G23" t="s">
        <v>69</v>
      </c>
      <c r="H23" t="s">
        <v>122</v>
      </c>
      <c r="I23" s="20" t="s">
        <v>35</v>
      </c>
      <c r="J23" t="s">
        <v>112</v>
      </c>
      <c r="K23" t="s">
        <v>73</v>
      </c>
      <c r="L23">
        <f t="shared" si="3"/>
        <v>0</v>
      </c>
      <c r="M23" t="s">
        <v>172</v>
      </c>
      <c r="P23" t="s">
        <v>109</v>
      </c>
      <c r="R23">
        <v>0</v>
      </c>
      <c r="T23" s="9" t="str">
        <f t="shared" si="4"/>
        <v/>
      </c>
      <c r="U23" s="8" t="str">
        <f t="shared" si="5"/>
        <v/>
      </c>
      <c r="V23" s="8" t="str">
        <f t="shared" si="6"/>
        <v/>
      </c>
      <c r="W23" s="8" t="str">
        <f t="shared" si="7"/>
        <v/>
      </c>
      <c r="X23" s="8" t="str">
        <f t="shared" si="8"/>
        <v/>
      </c>
      <c r="Y23" s="8" t="str">
        <f t="shared" si="9"/>
        <v/>
      </c>
      <c r="Z23" s="8" t="str">
        <f t="shared" si="10"/>
        <v/>
      </c>
      <c r="AA23" s="8" t="str">
        <f t="shared" si="11"/>
        <v/>
      </c>
      <c r="AB23" s="8" t="str">
        <f t="shared" si="12"/>
        <v/>
      </c>
      <c r="AC23" s="8" t="str">
        <f t="shared" si="13"/>
        <v/>
      </c>
      <c r="AD23" s="8" t="str">
        <f t="shared" si="14"/>
        <v>█</v>
      </c>
      <c r="AE23" s="8" t="str">
        <f t="shared" si="15"/>
        <v>█</v>
      </c>
      <c r="AF23" s="8" t="str">
        <f t="shared" si="16"/>
        <v>█</v>
      </c>
      <c r="AG23" s="8" t="str">
        <f t="shared" si="17"/>
        <v>█</v>
      </c>
    </row>
    <row r="24" spans="1:33" x14ac:dyDescent="0.3">
      <c r="A24" s="4"/>
      <c r="B24" s="5"/>
      <c r="C24" s="4"/>
      <c r="D24" s="5"/>
      <c r="E24" s="4" t="s">
        <v>173</v>
      </c>
      <c r="F24" s="6"/>
      <c r="T24" s="9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x14ac:dyDescent="0.3">
      <c r="A25" s="12" t="s">
        <v>174</v>
      </c>
      <c r="F25" s="13">
        <f>AVERAGE(F10:F23)</f>
        <v>0.60357142857142854</v>
      </c>
      <c r="L25" s="13">
        <f>AVERAGE(L10:L23)</f>
        <v>0.60357142857142854</v>
      </c>
      <c r="Q25">
        <f>SUM(Q10:Q23)</f>
        <v>232</v>
      </c>
      <c r="R25">
        <f>SUM(R10:R23)</f>
        <v>156</v>
      </c>
    </row>
  </sheetData>
  <autoFilter ref="A9:AG23" xr:uid="{00000000-0009-0000-0000-000003000000}"/>
  <mergeCells count="1">
    <mergeCell ref="A1:F1"/>
  </mergeCells>
  <conditionalFormatting sqref="F1:F1048576">
    <cfRule type="dataBar" priority="1">
      <dataBar>
        <cfvo type="min"/>
        <cfvo type="max"/>
        <color rgb="FFFFB628"/>
      </dataBar>
    </cfRule>
  </conditionalFormatting>
  <conditionalFormatting sqref="F10:F16">
    <cfRule type="dataBar" priority="4">
      <dataBar>
        <cfvo type="min"/>
        <cfvo type="max"/>
        <color rgb="FFFFB628"/>
      </dataBar>
    </cfRule>
  </conditionalFormatting>
  <conditionalFormatting sqref="H10:S17">
    <cfRule type="expression" dxfId="5" priority="35">
      <formula>AND(H$8&gt;=$B10,H$8&lt;=$D10)</formula>
    </cfRule>
    <cfRule type="expression" dxfId="4" priority="36">
      <formula>AND(H$8&gt;=$B10,H$8&lt;=D$10)</formula>
    </cfRule>
    <cfRule type="expression" priority="37">
      <formula>AND(H$8&gt;=$B10,H$8&lt;=D$10)</formula>
    </cfRule>
    <cfRule type="expression" priority="39">
      <formula>AND(H$8&gt;=$B10,H$8&lt;=$D10)</formula>
    </cfRule>
  </conditionalFormatting>
  <conditionalFormatting sqref="H10:U13 H14:S17 T14:U24">
    <cfRule type="expression" dxfId="3" priority="13">
      <formula>AND(H$8&gt;=$B10,H$8&lt;=$D10)</formula>
    </cfRule>
    <cfRule type="expression" priority="14">
      <formula>AND(H$8&gt;=$D10,H$8&lt;=$D10)</formula>
    </cfRule>
    <cfRule type="expression" priority="15">
      <formula>"AND(I$8&gt;+$B$10;$I$8&lt;=$E$10)"</formula>
    </cfRule>
  </conditionalFormatting>
  <conditionalFormatting sqref="I18:S24">
    <cfRule type="expression" dxfId="2" priority="21">
      <formula>AND(H$8&gt;=$B18,H$8&lt;=$D18)</formula>
    </cfRule>
    <cfRule type="expression" priority="22">
      <formula>AND(H$8&gt;=$D18,H$8&lt;=$D18)</formula>
    </cfRule>
    <cfRule type="expression" priority="23">
      <formula>"AND(I$8&gt;+$B$10;$I$8&lt;=$E$10)"</formula>
    </cfRule>
    <cfRule type="expression" dxfId="1" priority="30">
      <formula>AND(H$8&gt;=$B18,H$8&lt;=$D18)</formula>
    </cfRule>
    <cfRule type="expression" dxfId="0" priority="31">
      <formula>AND(H$8&gt;=$B18,H$8&lt;=D$10)</formula>
    </cfRule>
    <cfRule type="expression" priority="32">
      <formula>AND(H$8&gt;=$B18,H$8&lt;=D$10)</formula>
    </cfRule>
    <cfRule type="expression" priority="34">
      <formula>AND(H$8&gt;=$B18,H$8&lt;=$D18)</formula>
    </cfRule>
  </conditionalFormatting>
  <dataValidations count="4">
    <dataValidation type="list" allowBlank="1" sqref="G10:G50" xr:uid="{00000000-0002-0000-0300-000000000000}">
      <formula1>"Phase 1,Phase 2,Phase 3,Polish,Submission"</formula1>
    </dataValidation>
    <dataValidation type="list" allowBlank="1" sqref="H10:H50" xr:uid="{00000000-0002-0000-0300-000001000000}">
      <formula1>"Design,Research,UI/UX,Art,Audio,Engineering,QA,Production,Documentation,Narrative"</formula1>
    </dataValidation>
    <dataValidation type="list" allowBlank="1" sqref="J10:J50" xr:uid="{00000000-0002-0000-0300-000002000000}">
      <formula1>"Critical,High,Medium,Low"</formula1>
    </dataValidation>
    <dataValidation type="list" allowBlank="1" sqref="K10:K50" xr:uid="{00000000-0002-0000-0300-000003000000}">
      <formula1>"Not Started,In Progress,In Review,Blocked,Complete,Deferred"</formula1>
    </dataValidation>
  </dataValidations>
  <pageMargins left="0.7" right="0.7" top="0.75" bottom="0.75" header="0.3" footer="0.3"/>
  <pageSetup orientation="portrait" horizontalDpi="360" verticalDpi="36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4000000}">
          <x14:formula1>
            <xm:f>'Project Setup'!$B$11:$B$18</xm:f>
          </x14:formula1>
          <xm:sqref>I10:I50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6"/>
  <sheetViews>
    <sheetView workbookViewId="0">
      <pane ySplit="3" topLeftCell="A4" activePane="bottomLeft" state="frozen"/>
      <selection pane="bottomLeft" activeCell="E22" sqref="E22"/>
    </sheetView>
  </sheetViews>
  <sheetFormatPr defaultRowHeight="14.4" x14ac:dyDescent="0.3"/>
  <cols>
    <col min="1" max="1" width="6" customWidth="1"/>
    <col min="2" max="2" width="14" customWidth="1"/>
    <col min="3" max="3" width="28" customWidth="1"/>
    <col min="4" max="4" width="10" customWidth="1"/>
    <col min="5" max="6" width="12" customWidth="1"/>
    <col min="7" max="7" width="10" customWidth="1"/>
    <col min="8" max="8" width="12" customWidth="1"/>
    <col min="9" max="10" width="11" customWidth="1"/>
    <col min="11" max="12" width="8" customWidth="1"/>
    <col min="13" max="13" width="10" customWidth="1"/>
    <col min="14" max="14" width="36" customWidth="1"/>
    <col min="15" max="15" width="18" customWidth="1"/>
    <col min="16" max="16" width="8" customWidth="1"/>
    <col min="17" max="17" width="20" customWidth="1"/>
    <col min="18" max="18" width="24" customWidth="1"/>
  </cols>
  <sheetData>
    <row r="1" spans="1:18" ht="18" x14ac:dyDescent="0.35">
      <c r="A1" s="25" t="s">
        <v>175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3" spans="1:18" ht="28.8" x14ac:dyDescent="0.3">
      <c r="A3" s="15" t="s">
        <v>176</v>
      </c>
      <c r="B3" s="15" t="s">
        <v>177</v>
      </c>
      <c r="C3" s="15" t="s">
        <v>178</v>
      </c>
      <c r="D3" s="15" t="s">
        <v>57</v>
      </c>
      <c r="E3" s="15" t="s">
        <v>93</v>
      </c>
      <c r="F3" s="15" t="s">
        <v>179</v>
      </c>
      <c r="G3" s="15" t="s">
        <v>94</v>
      </c>
      <c r="H3" s="15" t="s">
        <v>61</v>
      </c>
      <c r="I3" s="15" t="s">
        <v>180</v>
      </c>
      <c r="J3" s="15" t="s">
        <v>181</v>
      </c>
      <c r="K3" s="15" t="s">
        <v>182</v>
      </c>
      <c r="L3" s="15" t="s">
        <v>183</v>
      </c>
      <c r="M3" s="15" t="s">
        <v>184</v>
      </c>
      <c r="N3" s="15" t="s">
        <v>185</v>
      </c>
      <c r="O3" s="15" t="s">
        <v>186</v>
      </c>
      <c r="P3" s="15" t="s">
        <v>187</v>
      </c>
      <c r="Q3" s="15" t="s">
        <v>188</v>
      </c>
      <c r="R3" s="15" t="s">
        <v>189</v>
      </c>
    </row>
    <row r="4" spans="1:18" x14ac:dyDescent="0.3">
      <c r="A4" t="s">
        <v>190</v>
      </c>
      <c r="B4" t="s">
        <v>191</v>
      </c>
      <c r="C4" t="s">
        <v>192</v>
      </c>
      <c r="D4" t="s">
        <v>63</v>
      </c>
      <c r="E4" t="s">
        <v>111</v>
      </c>
      <c r="F4" s="20" t="s">
        <v>37</v>
      </c>
      <c r="G4" t="s">
        <v>123</v>
      </c>
      <c r="H4" t="s">
        <v>65</v>
      </c>
      <c r="K4">
        <v>4</v>
      </c>
      <c r="L4">
        <v>4</v>
      </c>
      <c r="M4">
        <f t="shared" ref="M4:M16" si="0">K4-L4</f>
        <v>0</v>
      </c>
      <c r="N4" t="s">
        <v>193</v>
      </c>
      <c r="P4" t="s">
        <v>194</v>
      </c>
    </row>
    <row r="5" spans="1:18" x14ac:dyDescent="0.3">
      <c r="A5" t="s">
        <v>195</v>
      </c>
      <c r="B5" t="s">
        <v>191</v>
      </c>
      <c r="C5" t="s">
        <v>196</v>
      </c>
      <c r="D5" t="s">
        <v>63</v>
      </c>
      <c r="E5" t="s">
        <v>117</v>
      </c>
      <c r="F5" s="20" t="s">
        <v>37</v>
      </c>
      <c r="G5" t="s">
        <v>123</v>
      </c>
      <c r="H5" t="s">
        <v>65</v>
      </c>
      <c r="K5">
        <v>3</v>
      </c>
      <c r="L5">
        <v>3</v>
      </c>
      <c r="M5">
        <f t="shared" si="0"/>
        <v>0</v>
      </c>
      <c r="N5" t="s">
        <v>197</v>
      </c>
      <c r="P5" t="s">
        <v>194</v>
      </c>
    </row>
    <row r="6" spans="1:18" x14ac:dyDescent="0.3">
      <c r="A6" t="s">
        <v>198</v>
      </c>
      <c r="B6" t="s">
        <v>191</v>
      </c>
      <c r="C6" t="s">
        <v>199</v>
      </c>
      <c r="D6" t="s">
        <v>63</v>
      </c>
      <c r="E6" t="s">
        <v>117</v>
      </c>
      <c r="F6" s="20" t="s">
        <v>37</v>
      </c>
      <c r="G6" t="s">
        <v>200</v>
      </c>
      <c r="H6" t="s">
        <v>65</v>
      </c>
      <c r="K6">
        <v>4</v>
      </c>
      <c r="L6">
        <v>4</v>
      </c>
      <c r="M6">
        <f t="shared" si="0"/>
        <v>0</v>
      </c>
      <c r="N6" t="s">
        <v>201</v>
      </c>
      <c r="P6" t="s">
        <v>194</v>
      </c>
    </row>
    <row r="7" spans="1:18" x14ac:dyDescent="0.3">
      <c r="A7" t="s">
        <v>202</v>
      </c>
      <c r="B7" t="s">
        <v>191</v>
      </c>
      <c r="C7" t="s">
        <v>203</v>
      </c>
      <c r="D7" t="s">
        <v>63</v>
      </c>
      <c r="E7" t="s">
        <v>117</v>
      </c>
      <c r="F7" s="20" t="s">
        <v>37</v>
      </c>
      <c r="G7" t="s">
        <v>200</v>
      </c>
      <c r="H7" t="s">
        <v>129</v>
      </c>
      <c r="K7">
        <v>4</v>
      </c>
      <c r="L7">
        <v>4</v>
      </c>
      <c r="M7">
        <f t="shared" si="0"/>
        <v>0</v>
      </c>
      <c r="N7" t="s">
        <v>204</v>
      </c>
      <c r="P7" t="s">
        <v>194</v>
      </c>
    </row>
    <row r="8" spans="1:18" x14ac:dyDescent="0.3">
      <c r="A8" t="s">
        <v>205</v>
      </c>
      <c r="B8" t="s">
        <v>206</v>
      </c>
      <c r="C8" t="s">
        <v>207</v>
      </c>
      <c r="D8" t="s">
        <v>66</v>
      </c>
      <c r="E8" t="s">
        <v>117</v>
      </c>
      <c r="F8" s="20" t="s">
        <v>37</v>
      </c>
      <c r="G8" t="s">
        <v>200</v>
      </c>
      <c r="H8" t="s">
        <v>68</v>
      </c>
      <c r="K8">
        <v>6</v>
      </c>
      <c r="L8">
        <v>5</v>
      </c>
      <c r="M8">
        <f t="shared" si="0"/>
        <v>1</v>
      </c>
      <c r="N8" t="s">
        <v>208</v>
      </c>
      <c r="P8" t="s">
        <v>194</v>
      </c>
    </row>
    <row r="9" spans="1:18" x14ac:dyDescent="0.3">
      <c r="A9" t="s">
        <v>209</v>
      </c>
      <c r="B9" t="s">
        <v>206</v>
      </c>
      <c r="C9" t="s">
        <v>210</v>
      </c>
      <c r="D9" t="s">
        <v>66</v>
      </c>
      <c r="E9" t="s">
        <v>117</v>
      </c>
      <c r="F9" s="20" t="s">
        <v>37</v>
      </c>
      <c r="G9" t="s">
        <v>123</v>
      </c>
      <c r="H9" t="s">
        <v>68</v>
      </c>
      <c r="K9">
        <v>12</v>
      </c>
      <c r="L9">
        <v>8</v>
      </c>
      <c r="M9">
        <f t="shared" si="0"/>
        <v>4</v>
      </c>
      <c r="N9" t="s">
        <v>211</v>
      </c>
      <c r="P9" t="s">
        <v>194</v>
      </c>
    </row>
    <row r="10" spans="1:18" x14ac:dyDescent="0.3">
      <c r="A10" t="s">
        <v>212</v>
      </c>
      <c r="B10" t="s">
        <v>206</v>
      </c>
      <c r="C10" t="s">
        <v>213</v>
      </c>
      <c r="D10" t="s">
        <v>66</v>
      </c>
      <c r="E10" t="s">
        <v>138</v>
      </c>
      <c r="F10" s="20" t="s">
        <v>37</v>
      </c>
      <c r="G10" t="s">
        <v>123</v>
      </c>
      <c r="H10" t="s">
        <v>68</v>
      </c>
      <c r="K10">
        <v>10</v>
      </c>
      <c r="L10">
        <v>6</v>
      </c>
      <c r="M10">
        <f t="shared" si="0"/>
        <v>4</v>
      </c>
      <c r="N10" t="s">
        <v>214</v>
      </c>
      <c r="P10" t="s">
        <v>194</v>
      </c>
    </row>
    <row r="11" spans="1:18" x14ac:dyDescent="0.3">
      <c r="A11" t="s">
        <v>215</v>
      </c>
      <c r="B11" t="s">
        <v>206</v>
      </c>
      <c r="C11" t="s">
        <v>216</v>
      </c>
      <c r="D11" t="s">
        <v>66</v>
      </c>
      <c r="E11" t="s">
        <v>144</v>
      </c>
      <c r="F11" s="20" t="s">
        <v>38</v>
      </c>
      <c r="G11" t="s">
        <v>105</v>
      </c>
      <c r="H11" t="s">
        <v>68</v>
      </c>
      <c r="K11">
        <v>8</v>
      </c>
      <c r="L11">
        <v>10</v>
      </c>
      <c r="M11">
        <f t="shared" si="0"/>
        <v>-2</v>
      </c>
      <c r="N11" t="s">
        <v>217</v>
      </c>
      <c r="P11" t="s">
        <v>194</v>
      </c>
    </row>
    <row r="12" spans="1:18" x14ac:dyDescent="0.3">
      <c r="A12" t="s">
        <v>218</v>
      </c>
      <c r="B12" t="s">
        <v>206</v>
      </c>
      <c r="C12" t="s">
        <v>219</v>
      </c>
      <c r="D12" t="s">
        <v>66</v>
      </c>
      <c r="E12" t="s">
        <v>144</v>
      </c>
      <c r="F12" s="20" t="s">
        <v>38</v>
      </c>
      <c r="G12" t="s">
        <v>105</v>
      </c>
      <c r="H12" t="s">
        <v>68</v>
      </c>
      <c r="K12">
        <v>16</v>
      </c>
      <c r="L12">
        <v>8</v>
      </c>
      <c r="M12">
        <f t="shared" si="0"/>
        <v>8</v>
      </c>
      <c r="N12" t="s">
        <v>220</v>
      </c>
      <c r="P12" t="s">
        <v>194</v>
      </c>
    </row>
    <row r="13" spans="1:18" x14ac:dyDescent="0.3">
      <c r="A13" t="s">
        <v>221</v>
      </c>
      <c r="B13" t="s">
        <v>222</v>
      </c>
      <c r="C13" t="s">
        <v>223</v>
      </c>
      <c r="D13" t="s">
        <v>69</v>
      </c>
      <c r="E13" t="s">
        <v>158</v>
      </c>
      <c r="F13" s="20" t="s">
        <v>39</v>
      </c>
      <c r="G13" t="s">
        <v>200</v>
      </c>
      <c r="H13" t="s">
        <v>224</v>
      </c>
      <c r="K13">
        <v>24</v>
      </c>
      <c r="L13">
        <v>0</v>
      </c>
      <c r="M13">
        <f t="shared" si="0"/>
        <v>24</v>
      </c>
      <c r="N13" t="s">
        <v>225</v>
      </c>
      <c r="P13" t="s">
        <v>226</v>
      </c>
      <c r="Q13" t="s">
        <v>227</v>
      </c>
    </row>
    <row r="14" spans="1:18" x14ac:dyDescent="0.3">
      <c r="A14" t="s">
        <v>228</v>
      </c>
      <c r="B14" t="s">
        <v>222</v>
      </c>
      <c r="C14" t="s">
        <v>229</v>
      </c>
      <c r="D14" t="s">
        <v>69</v>
      </c>
      <c r="E14" t="s">
        <v>168</v>
      </c>
      <c r="F14" s="20" t="s">
        <v>37</v>
      </c>
      <c r="G14" t="s">
        <v>123</v>
      </c>
      <c r="H14" t="s">
        <v>73</v>
      </c>
      <c r="K14">
        <v>3</v>
      </c>
      <c r="L14">
        <v>0</v>
      </c>
      <c r="M14">
        <f t="shared" si="0"/>
        <v>3</v>
      </c>
      <c r="N14" t="s">
        <v>230</v>
      </c>
      <c r="P14" t="s">
        <v>194</v>
      </c>
    </row>
    <row r="15" spans="1:18" x14ac:dyDescent="0.3">
      <c r="A15" t="s">
        <v>231</v>
      </c>
      <c r="B15" t="s">
        <v>222</v>
      </c>
      <c r="C15" t="s">
        <v>232</v>
      </c>
      <c r="D15" t="s">
        <v>69</v>
      </c>
      <c r="E15" t="s">
        <v>158</v>
      </c>
      <c r="F15" s="20" t="s">
        <v>39</v>
      </c>
      <c r="G15" t="s">
        <v>123</v>
      </c>
      <c r="H15" t="s">
        <v>73</v>
      </c>
      <c r="K15">
        <v>12</v>
      </c>
      <c r="L15">
        <v>0</v>
      </c>
      <c r="M15">
        <f t="shared" si="0"/>
        <v>12</v>
      </c>
      <c r="N15" t="s">
        <v>233</v>
      </c>
      <c r="P15" t="s">
        <v>194</v>
      </c>
    </row>
    <row r="16" spans="1:18" x14ac:dyDescent="0.3">
      <c r="A16" t="s">
        <v>234</v>
      </c>
      <c r="B16" t="s">
        <v>222</v>
      </c>
      <c r="C16" t="s">
        <v>235</v>
      </c>
      <c r="D16" t="s">
        <v>69</v>
      </c>
      <c r="E16" t="s">
        <v>104</v>
      </c>
      <c r="F16" s="20" t="s">
        <v>35</v>
      </c>
      <c r="G16" t="s">
        <v>123</v>
      </c>
      <c r="H16" t="s">
        <v>73</v>
      </c>
      <c r="K16">
        <v>6</v>
      </c>
      <c r="L16">
        <v>0</v>
      </c>
      <c r="M16">
        <f t="shared" si="0"/>
        <v>6</v>
      </c>
      <c r="N16" t="s">
        <v>236</v>
      </c>
      <c r="P16" t="s">
        <v>194</v>
      </c>
    </row>
  </sheetData>
  <autoFilter ref="A3:R16" xr:uid="{00000000-0009-0000-0000-000004000000}"/>
  <mergeCells count="1">
    <mergeCell ref="A1:R1"/>
  </mergeCells>
  <dataValidations count="3">
    <dataValidation type="list" allowBlank="1" sqref="G4:G100" xr:uid="{00000000-0002-0000-0400-000000000000}">
      <formula1>"Critical,High,Medium,Low"</formula1>
    </dataValidation>
    <dataValidation type="list" allowBlank="1" sqref="H4:H100" xr:uid="{00000000-0002-0000-0400-000001000000}">
      <formula1>"Not Started,In Progress,In Review,Blocked,Complete"</formula1>
    </dataValidation>
    <dataValidation type="list" allowBlank="1" sqref="P4:P100" xr:uid="{00000000-0002-0000-0400-00000200000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3000000}">
          <x14:formula1>
            <xm:f>'Project Setup'!$B$11:$B$18</xm:f>
          </x14:formula1>
          <xm:sqref>F4:F100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32" customWidth="1"/>
    <col min="3" max="3" width="12" customWidth="1"/>
    <col min="4" max="4" width="10" customWidth="1"/>
    <col min="5" max="6" width="12" customWidth="1"/>
    <col min="7" max="7" width="14" customWidth="1"/>
    <col min="8" max="8" width="12" customWidth="1"/>
    <col min="9" max="9" width="8" customWidth="1"/>
    <col min="10" max="10" width="18" customWidth="1"/>
    <col min="11" max="11" width="12" customWidth="1"/>
    <col min="12" max="12" width="8" customWidth="1"/>
    <col min="13" max="13" width="24" customWidth="1"/>
  </cols>
  <sheetData>
    <row r="1" spans="1:13" ht="18" x14ac:dyDescent="0.35">
      <c r="A1" s="11" t="s">
        <v>237</v>
      </c>
    </row>
    <row r="3" spans="1:13" ht="28.8" x14ac:dyDescent="0.3">
      <c r="A3" s="15" t="s">
        <v>176</v>
      </c>
      <c r="B3" s="15" t="s">
        <v>238</v>
      </c>
      <c r="C3" s="15" t="s">
        <v>239</v>
      </c>
      <c r="D3" s="15" t="s">
        <v>57</v>
      </c>
      <c r="E3" s="15" t="s">
        <v>240</v>
      </c>
      <c r="F3" s="15" t="s">
        <v>60</v>
      </c>
      <c r="G3" s="15" t="s">
        <v>241</v>
      </c>
      <c r="H3" s="15" t="s">
        <v>61</v>
      </c>
      <c r="I3" s="15" t="s">
        <v>242</v>
      </c>
      <c r="J3" s="15" t="s">
        <v>243</v>
      </c>
      <c r="K3" s="15" t="s">
        <v>244</v>
      </c>
      <c r="L3" s="15" t="s">
        <v>245</v>
      </c>
      <c r="M3" s="15" t="s">
        <v>189</v>
      </c>
    </row>
    <row r="4" spans="1:13" x14ac:dyDescent="0.3">
      <c r="A4" t="s">
        <v>246</v>
      </c>
      <c r="B4" t="s">
        <v>247</v>
      </c>
      <c r="C4" t="s">
        <v>248</v>
      </c>
      <c r="D4" t="s">
        <v>63</v>
      </c>
      <c r="E4">
        <f>'Master Schedule'!D13</f>
        <v>46101</v>
      </c>
      <c r="F4" t="s">
        <v>35</v>
      </c>
      <c r="G4" t="s">
        <v>249</v>
      </c>
      <c r="H4" t="s">
        <v>250</v>
      </c>
      <c r="I4">
        <v>1</v>
      </c>
      <c r="J4" t="str">
        <f>'Project Setup'!B7</f>
        <v>https://arc.yourschool.edu (PoE upload)</v>
      </c>
      <c r="K4" t="s">
        <v>194</v>
      </c>
      <c r="L4" t="s">
        <v>251</v>
      </c>
    </row>
    <row r="5" spans="1:13" x14ac:dyDescent="0.3">
      <c r="A5" t="s">
        <v>252</v>
      </c>
      <c r="B5" t="s">
        <v>253</v>
      </c>
      <c r="C5" t="s">
        <v>254</v>
      </c>
      <c r="D5" t="s">
        <v>66</v>
      </c>
      <c r="F5" t="s">
        <v>37</v>
      </c>
      <c r="G5" t="s">
        <v>255</v>
      </c>
      <c r="H5" t="s">
        <v>129</v>
      </c>
      <c r="I5">
        <v>0.85</v>
      </c>
      <c r="J5" t="str">
        <f>'Project Setup'!B6</f>
        <v>https://github.com/sufyaanAlbertus/Work_Integrated_Learning_OfficeTroll.git</v>
      </c>
      <c r="K5" t="s">
        <v>194</v>
      </c>
      <c r="L5" t="s">
        <v>256</v>
      </c>
      <c r="M5" t="s">
        <v>257</v>
      </c>
    </row>
    <row r="6" spans="1:13" x14ac:dyDescent="0.3">
      <c r="A6" t="s">
        <v>258</v>
      </c>
      <c r="B6" t="s">
        <v>259</v>
      </c>
      <c r="C6" t="s">
        <v>260</v>
      </c>
      <c r="D6" t="s">
        <v>66</v>
      </c>
      <c r="F6" t="s">
        <v>37</v>
      </c>
      <c r="H6" t="s">
        <v>129</v>
      </c>
      <c r="I6">
        <v>0.75</v>
      </c>
      <c r="J6" t="s">
        <v>261</v>
      </c>
      <c r="K6" t="s">
        <v>194</v>
      </c>
      <c r="L6" t="s">
        <v>262</v>
      </c>
    </row>
    <row r="7" spans="1:13" x14ac:dyDescent="0.3">
      <c r="A7" t="s">
        <v>263</v>
      </c>
      <c r="B7" t="s">
        <v>264</v>
      </c>
      <c r="C7" t="s">
        <v>144</v>
      </c>
      <c r="D7" t="s">
        <v>66</v>
      </c>
      <c r="F7" t="s">
        <v>38</v>
      </c>
      <c r="H7" t="s">
        <v>68</v>
      </c>
      <c r="I7">
        <v>0.7</v>
      </c>
      <c r="J7" t="str">
        <f>'Project Setup'!B6</f>
        <v>https://github.com/sufyaanAlbertus/Work_Integrated_Learning_OfficeTroll.git</v>
      </c>
      <c r="K7" t="s">
        <v>194</v>
      </c>
      <c r="L7" t="s">
        <v>265</v>
      </c>
    </row>
    <row r="8" spans="1:13" x14ac:dyDescent="0.3">
      <c r="A8" t="s">
        <v>266</v>
      </c>
      <c r="B8" t="s">
        <v>267</v>
      </c>
      <c r="C8" t="s">
        <v>248</v>
      </c>
      <c r="D8" t="s">
        <v>66</v>
      </c>
      <c r="E8">
        <f>'Master Schedule'!D17</f>
        <v>46129</v>
      </c>
      <c r="F8" t="s">
        <v>35</v>
      </c>
      <c r="G8" t="s">
        <v>249</v>
      </c>
      <c r="H8" t="s">
        <v>268</v>
      </c>
      <c r="I8">
        <v>0.5</v>
      </c>
      <c r="J8" t="str">
        <f>'Project Setup'!B7</f>
        <v>https://arc.yourschool.edu (PoE upload)</v>
      </c>
      <c r="K8" t="s">
        <v>194</v>
      </c>
      <c r="L8" t="s">
        <v>269</v>
      </c>
    </row>
    <row r="9" spans="1:13" x14ac:dyDescent="0.3">
      <c r="A9" t="s">
        <v>270</v>
      </c>
      <c r="B9" t="s">
        <v>271</v>
      </c>
      <c r="C9" t="s">
        <v>272</v>
      </c>
      <c r="D9" t="s">
        <v>69</v>
      </c>
      <c r="E9">
        <f>'Master Schedule'!D18</f>
        <v>46136</v>
      </c>
      <c r="F9" t="s">
        <v>39</v>
      </c>
      <c r="G9" t="s">
        <v>273</v>
      </c>
      <c r="H9" t="s">
        <v>68</v>
      </c>
      <c r="I9">
        <v>0.25</v>
      </c>
      <c r="J9" t="s">
        <v>274</v>
      </c>
      <c r="K9" t="s">
        <v>194</v>
      </c>
      <c r="L9" t="s">
        <v>275</v>
      </c>
    </row>
    <row r="10" spans="1:13" x14ac:dyDescent="0.3">
      <c r="A10" t="s">
        <v>276</v>
      </c>
      <c r="B10" t="s">
        <v>277</v>
      </c>
      <c r="C10" t="s">
        <v>278</v>
      </c>
      <c r="D10" t="s">
        <v>69</v>
      </c>
      <c r="E10">
        <f>'Master Schedule'!D20</f>
        <v>46150</v>
      </c>
      <c r="F10" t="s">
        <v>35</v>
      </c>
      <c r="G10" t="s">
        <v>279</v>
      </c>
      <c r="H10" t="s">
        <v>73</v>
      </c>
      <c r="I10">
        <v>0.05</v>
      </c>
      <c r="J10" t="s">
        <v>280</v>
      </c>
      <c r="K10" t="s">
        <v>194</v>
      </c>
      <c r="L10" t="s">
        <v>281</v>
      </c>
    </row>
    <row r="11" spans="1:13" x14ac:dyDescent="0.3">
      <c r="A11" t="s">
        <v>282</v>
      </c>
      <c r="B11" t="s">
        <v>283</v>
      </c>
      <c r="C11" t="s">
        <v>71</v>
      </c>
      <c r="D11" t="s">
        <v>69</v>
      </c>
      <c r="E11">
        <f>'Master Schedule'!D23</f>
        <v>46171</v>
      </c>
      <c r="F11" t="s">
        <v>35</v>
      </c>
      <c r="G11" t="s">
        <v>249</v>
      </c>
      <c r="H11" t="s">
        <v>73</v>
      </c>
      <c r="I11">
        <v>0</v>
      </c>
      <c r="J11" t="str">
        <f>'Project Setup'!B7</f>
        <v>https://arc.yourschool.edu (PoE upload)</v>
      </c>
      <c r="K11" t="s">
        <v>194</v>
      </c>
      <c r="L11" t="s">
        <v>284</v>
      </c>
    </row>
  </sheetData>
  <autoFilter ref="A3:M11" xr:uid="{00000000-0009-0000-0000-000005000000}"/>
  <dataValidations count="2">
    <dataValidation type="list" allowBlank="1" sqref="C4:C30" xr:uid="{00000000-0002-0000-0500-000000000000}">
      <formula1>"Report,Design Doc,Art/Design,Art,Build,Presentation,Submission,Research"</formula1>
    </dataValidation>
    <dataValidation type="list" allowBlank="1" sqref="H4:H30" xr:uid="{00000000-0002-0000-0500-000001000000}">
      <formula1>"Not Started,Draft,In Review,Approved,Submitted"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workbookViewId="0">
      <selection activeCell="C13" sqref="C13"/>
    </sheetView>
  </sheetViews>
  <sheetFormatPr defaultRowHeight="14.4" x14ac:dyDescent="0.3"/>
  <cols>
    <col min="1" max="1" width="14" customWidth="1"/>
    <col min="2" max="2" width="16" customWidth="1"/>
    <col min="3" max="3" width="14" customWidth="1"/>
    <col min="4" max="4" width="22" customWidth="1"/>
    <col min="5" max="5" width="14" customWidth="1"/>
    <col min="6" max="6" width="36" customWidth="1"/>
  </cols>
  <sheetData>
    <row r="1" spans="1:7" ht="18" x14ac:dyDescent="0.35">
      <c r="A1" s="11" t="s">
        <v>285</v>
      </c>
    </row>
    <row r="3" spans="1:7" x14ac:dyDescent="0.3">
      <c r="A3" s="12" t="s">
        <v>286</v>
      </c>
    </row>
    <row r="4" spans="1:7" ht="28.8" x14ac:dyDescent="0.3">
      <c r="A4" s="15" t="s">
        <v>287</v>
      </c>
      <c r="B4" s="15" t="s">
        <v>288</v>
      </c>
      <c r="C4" s="15" t="s">
        <v>93</v>
      </c>
      <c r="D4" s="15" t="s">
        <v>289</v>
      </c>
      <c r="E4" s="15" t="s">
        <v>290</v>
      </c>
      <c r="F4" s="15" t="s">
        <v>291</v>
      </c>
    </row>
    <row r="5" spans="1:7" x14ac:dyDescent="0.3">
      <c r="A5" s="20" t="s">
        <v>35</v>
      </c>
      <c r="B5" t="s">
        <v>34</v>
      </c>
      <c r="C5" t="s">
        <v>292</v>
      </c>
      <c r="D5" s="24" t="s">
        <v>429</v>
      </c>
      <c r="E5">
        <v>10</v>
      </c>
      <c r="F5" t="s">
        <v>293</v>
      </c>
    </row>
    <row r="6" spans="1:7" x14ac:dyDescent="0.3">
      <c r="A6" s="20" t="s">
        <v>37</v>
      </c>
      <c r="B6" t="s">
        <v>294</v>
      </c>
      <c r="C6" t="s">
        <v>117</v>
      </c>
      <c r="D6" s="24" t="s">
        <v>435</v>
      </c>
      <c r="E6">
        <v>12</v>
      </c>
      <c r="F6" t="s">
        <v>295</v>
      </c>
    </row>
    <row r="7" spans="1:7" x14ac:dyDescent="0.3">
      <c r="A7" s="20" t="s">
        <v>38</v>
      </c>
      <c r="B7" t="s">
        <v>296</v>
      </c>
      <c r="C7" t="s">
        <v>144</v>
      </c>
      <c r="D7" s="24" t="s">
        <v>438</v>
      </c>
      <c r="E7">
        <v>10</v>
      </c>
      <c r="F7" t="s">
        <v>297</v>
      </c>
    </row>
    <row r="8" spans="1:7" x14ac:dyDescent="0.3">
      <c r="A8" s="20" t="s">
        <v>39</v>
      </c>
      <c r="B8" t="s">
        <v>298</v>
      </c>
      <c r="C8" t="s">
        <v>158</v>
      </c>
      <c r="D8" s="24" t="s">
        <v>434</v>
      </c>
      <c r="E8">
        <v>12</v>
      </c>
      <c r="F8" t="s">
        <v>299</v>
      </c>
    </row>
    <row r="11" spans="1:7" x14ac:dyDescent="0.3">
      <c r="A11" s="12" t="s">
        <v>300</v>
      </c>
    </row>
    <row r="12" spans="1:7" ht="28.8" x14ac:dyDescent="0.3">
      <c r="A12" s="15" t="s">
        <v>301</v>
      </c>
      <c r="B12" s="15" t="s">
        <v>302</v>
      </c>
      <c r="C12" s="15" t="s">
        <v>303</v>
      </c>
      <c r="D12" s="15" t="s">
        <v>296</v>
      </c>
      <c r="E12" s="15" t="s">
        <v>298</v>
      </c>
      <c r="F12" s="15" t="s">
        <v>168</v>
      </c>
      <c r="G12" s="15" t="s">
        <v>249</v>
      </c>
    </row>
    <row r="13" spans="1:7" x14ac:dyDescent="0.3">
      <c r="A13" t="s">
        <v>304</v>
      </c>
      <c r="B13" t="s">
        <v>305</v>
      </c>
      <c r="C13" t="s">
        <v>306</v>
      </c>
      <c r="D13" t="s">
        <v>307</v>
      </c>
      <c r="E13" t="s">
        <v>307</v>
      </c>
      <c r="F13" t="s">
        <v>307</v>
      </c>
      <c r="G13" t="s">
        <v>308</v>
      </c>
    </row>
    <row r="14" spans="1:7" x14ac:dyDescent="0.3">
      <c r="A14" t="s">
        <v>309</v>
      </c>
      <c r="B14" t="s">
        <v>305</v>
      </c>
      <c r="C14" t="s">
        <v>306</v>
      </c>
      <c r="D14" t="s">
        <v>308</v>
      </c>
      <c r="E14" t="s">
        <v>308</v>
      </c>
      <c r="F14" t="s">
        <v>307</v>
      </c>
      <c r="G14" t="s">
        <v>308</v>
      </c>
    </row>
    <row r="15" spans="1:7" x14ac:dyDescent="0.3">
      <c r="A15" t="s">
        <v>138</v>
      </c>
      <c r="B15" t="s">
        <v>305</v>
      </c>
      <c r="C15" t="s">
        <v>306</v>
      </c>
      <c r="D15" t="s">
        <v>308</v>
      </c>
      <c r="E15" t="s">
        <v>308</v>
      </c>
      <c r="F15" t="s">
        <v>307</v>
      </c>
      <c r="G15" t="s">
        <v>307</v>
      </c>
    </row>
    <row r="16" spans="1:7" x14ac:dyDescent="0.3">
      <c r="A16" t="s">
        <v>310</v>
      </c>
      <c r="B16" t="s">
        <v>305</v>
      </c>
      <c r="C16" t="s">
        <v>308</v>
      </c>
      <c r="D16" t="s">
        <v>306</v>
      </c>
      <c r="E16" t="s">
        <v>307</v>
      </c>
      <c r="F16" t="s">
        <v>307</v>
      </c>
      <c r="G16" t="s">
        <v>307</v>
      </c>
    </row>
    <row r="17" spans="1:7" x14ac:dyDescent="0.3">
      <c r="A17" t="s">
        <v>311</v>
      </c>
      <c r="B17" t="s">
        <v>305</v>
      </c>
      <c r="C17" t="s">
        <v>308</v>
      </c>
      <c r="D17" t="s">
        <v>308</v>
      </c>
      <c r="E17" t="s">
        <v>306</v>
      </c>
      <c r="F17" t="s">
        <v>308</v>
      </c>
      <c r="G17" t="s">
        <v>307</v>
      </c>
    </row>
    <row r="18" spans="1:7" x14ac:dyDescent="0.3">
      <c r="A18" t="s">
        <v>312</v>
      </c>
      <c r="B18" t="s">
        <v>305</v>
      </c>
      <c r="C18" t="s">
        <v>306</v>
      </c>
      <c r="D18" t="s">
        <v>307</v>
      </c>
      <c r="E18" t="s">
        <v>306</v>
      </c>
      <c r="F18" t="s">
        <v>306</v>
      </c>
      <c r="G18" t="s">
        <v>307</v>
      </c>
    </row>
    <row r="19" spans="1:7" x14ac:dyDescent="0.3">
      <c r="A19" t="s">
        <v>313</v>
      </c>
      <c r="B19" t="s">
        <v>305</v>
      </c>
      <c r="C19" t="s">
        <v>306</v>
      </c>
      <c r="D19" t="s">
        <v>307</v>
      </c>
      <c r="E19" t="s">
        <v>307</v>
      </c>
      <c r="F19" t="s">
        <v>308</v>
      </c>
      <c r="G19" t="s">
        <v>308</v>
      </c>
    </row>
  </sheetData>
  <dataValidations count="2">
    <dataValidation type="list" allowBlank="1" sqref="C5:C12" xr:uid="{00000000-0002-0000-0600-000000000000}">
      <formula1>"Lead Designer,Designer,Artist,Programmer,Producer,QA,Audio,Writer"</formula1>
    </dataValidation>
    <dataValidation type="list" allowBlank="1" sqref="B13:G25" xr:uid="{00000000-0002-0000-0600-000001000000}">
      <formula1>"R,A,C,I,-"</formula1>
    </dataValidation>
  </dataValidations>
  <hyperlinks>
    <hyperlink ref="D5" r:id="rId1" xr:uid="{FA52F7A6-9FD3-46CC-B8BC-D7B86FFFC90D}"/>
    <hyperlink ref="D6" r:id="rId2" xr:uid="{D9862948-5A6F-46A9-9EE1-B9547D23FC9B}"/>
    <hyperlink ref="D8" r:id="rId3" xr:uid="{8E4F63E3-DCE7-4C3F-87C8-359FA4FA215D}"/>
    <hyperlink ref="D7" r:id="rId4" xr:uid="{9012CE03-6081-498D-AEB0-34C6C0253C9B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pane ySplit="3" topLeftCell="A4" activePane="bottomLeft" state="frozen"/>
      <selection pane="bottomLeft" activeCell="C8" sqref="C8"/>
    </sheetView>
  </sheetViews>
  <sheetFormatPr defaultRowHeight="14.4" x14ac:dyDescent="0.3"/>
  <cols>
    <col min="1" max="1" width="34" customWidth="1"/>
    <col min="2" max="6" width="14" customWidth="1"/>
    <col min="7" max="8" width="28" customWidth="1"/>
  </cols>
  <sheetData>
    <row r="1" spans="1:8" ht="18" x14ac:dyDescent="0.35">
      <c r="A1" s="11" t="s">
        <v>314</v>
      </c>
    </row>
    <row r="3" spans="1:8" x14ac:dyDescent="0.3">
      <c r="A3" s="15" t="s">
        <v>315</v>
      </c>
      <c r="B3" s="15" t="s">
        <v>316</v>
      </c>
      <c r="C3" s="15" t="s">
        <v>60</v>
      </c>
      <c r="D3" s="15" t="s">
        <v>61</v>
      </c>
      <c r="E3" s="15" t="s">
        <v>95</v>
      </c>
      <c r="F3" s="15" t="s">
        <v>317</v>
      </c>
      <c r="G3" s="15" t="s">
        <v>318</v>
      </c>
      <c r="H3" s="15" t="s">
        <v>319</v>
      </c>
    </row>
    <row r="4" spans="1:8" x14ac:dyDescent="0.3">
      <c r="A4" t="s">
        <v>320</v>
      </c>
      <c r="B4" t="s">
        <v>226</v>
      </c>
      <c r="C4" t="s">
        <v>35</v>
      </c>
      <c r="D4" t="s">
        <v>321</v>
      </c>
      <c r="E4">
        <v>1</v>
      </c>
    </row>
    <row r="5" spans="1:8" x14ac:dyDescent="0.3">
      <c r="A5" t="s">
        <v>322</v>
      </c>
      <c r="B5" t="s">
        <v>226</v>
      </c>
      <c r="C5" t="s">
        <v>37</v>
      </c>
      <c r="D5" t="s">
        <v>321</v>
      </c>
      <c r="E5">
        <v>1</v>
      </c>
    </row>
    <row r="6" spans="1:8" x14ac:dyDescent="0.3">
      <c r="A6" t="s">
        <v>323</v>
      </c>
      <c r="B6" t="s">
        <v>226</v>
      </c>
      <c r="C6" t="s">
        <v>37</v>
      </c>
      <c r="D6" t="s">
        <v>321</v>
      </c>
      <c r="E6">
        <v>1</v>
      </c>
    </row>
    <row r="7" spans="1:8" x14ac:dyDescent="0.3">
      <c r="A7" t="s">
        <v>324</v>
      </c>
      <c r="B7" t="s">
        <v>226</v>
      </c>
      <c r="C7" t="s">
        <v>39</v>
      </c>
      <c r="D7" t="s">
        <v>321</v>
      </c>
      <c r="E7">
        <v>1</v>
      </c>
    </row>
    <row r="8" spans="1:8" x14ac:dyDescent="0.3">
      <c r="A8" t="s">
        <v>325</v>
      </c>
      <c r="B8" t="s">
        <v>226</v>
      </c>
      <c r="C8" t="s">
        <v>39</v>
      </c>
      <c r="D8" t="s">
        <v>129</v>
      </c>
      <c r="E8">
        <v>0.9</v>
      </c>
    </row>
    <row r="9" spans="1:8" x14ac:dyDescent="0.3">
      <c r="A9" t="s">
        <v>326</v>
      </c>
      <c r="B9" t="s">
        <v>226</v>
      </c>
      <c r="C9" t="s">
        <v>39</v>
      </c>
      <c r="D9" t="s">
        <v>129</v>
      </c>
      <c r="E9">
        <v>0.85</v>
      </c>
    </row>
    <row r="10" spans="1:8" x14ac:dyDescent="0.3">
      <c r="A10" t="s">
        <v>327</v>
      </c>
      <c r="B10" t="s">
        <v>226</v>
      </c>
      <c r="C10" t="s">
        <v>39</v>
      </c>
      <c r="D10" t="s">
        <v>268</v>
      </c>
      <c r="E10">
        <v>0.5</v>
      </c>
    </row>
    <row r="11" spans="1:8" x14ac:dyDescent="0.3">
      <c r="A11" t="s">
        <v>328</v>
      </c>
      <c r="B11" t="s">
        <v>329</v>
      </c>
      <c r="C11" t="s">
        <v>37</v>
      </c>
      <c r="D11" t="s">
        <v>268</v>
      </c>
      <c r="E11">
        <v>0.4</v>
      </c>
    </row>
    <row r="12" spans="1:8" x14ac:dyDescent="0.3">
      <c r="A12" t="s">
        <v>330</v>
      </c>
      <c r="B12" t="s">
        <v>329</v>
      </c>
      <c r="C12" t="s">
        <v>37</v>
      </c>
      <c r="D12" t="s">
        <v>129</v>
      </c>
      <c r="E12">
        <v>0.75</v>
      </c>
    </row>
    <row r="13" spans="1:8" x14ac:dyDescent="0.3">
      <c r="A13" t="s">
        <v>331</v>
      </c>
      <c r="B13" t="s">
        <v>226</v>
      </c>
      <c r="C13" t="s">
        <v>38</v>
      </c>
      <c r="D13" t="s">
        <v>321</v>
      </c>
      <c r="E13">
        <v>1</v>
      </c>
    </row>
    <row r="14" spans="1:8" x14ac:dyDescent="0.3">
      <c r="A14" t="s">
        <v>332</v>
      </c>
      <c r="B14" t="s">
        <v>226</v>
      </c>
      <c r="C14" t="s">
        <v>38</v>
      </c>
      <c r="D14" t="s">
        <v>73</v>
      </c>
      <c r="E14">
        <v>0</v>
      </c>
    </row>
    <row r="15" spans="1:8" x14ac:dyDescent="0.3">
      <c r="A15" t="s">
        <v>333</v>
      </c>
      <c r="B15" t="s">
        <v>329</v>
      </c>
      <c r="C15" t="s">
        <v>37</v>
      </c>
      <c r="D15" t="s">
        <v>268</v>
      </c>
      <c r="E15">
        <v>0.3</v>
      </c>
    </row>
    <row r="16" spans="1:8" x14ac:dyDescent="0.3">
      <c r="A16" t="s">
        <v>334</v>
      </c>
      <c r="B16" t="s">
        <v>226</v>
      </c>
      <c r="C16" t="s">
        <v>39</v>
      </c>
      <c r="D16" t="s">
        <v>321</v>
      </c>
      <c r="E16">
        <v>1</v>
      </c>
    </row>
    <row r="17" spans="1:5" x14ac:dyDescent="0.3">
      <c r="A17" t="s">
        <v>335</v>
      </c>
      <c r="B17" t="s">
        <v>226</v>
      </c>
      <c r="C17" t="s">
        <v>35</v>
      </c>
      <c r="D17" t="s">
        <v>268</v>
      </c>
      <c r="E17">
        <v>0.6</v>
      </c>
    </row>
    <row r="18" spans="1:5" x14ac:dyDescent="0.3">
      <c r="A18" t="s">
        <v>336</v>
      </c>
      <c r="B18" t="s">
        <v>226</v>
      </c>
      <c r="C18" t="s">
        <v>37</v>
      </c>
      <c r="D18" t="s">
        <v>268</v>
      </c>
      <c r="E18">
        <v>0.4</v>
      </c>
    </row>
    <row r="19" spans="1:5" x14ac:dyDescent="0.3">
      <c r="A19" t="s">
        <v>337</v>
      </c>
      <c r="B19" t="s">
        <v>226</v>
      </c>
      <c r="C19" t="s">
        <v>35</v>
      </c>
      <c r="D19" t="s">
        <v>73</v>
      </c>
      <c r="E19">
        <v>0</v>
      </c>
    </row>
  </sheetData>
  <dataValidations count="2">
    <dataValidation type="list" allowBlank="1" sqref="B4:B30" xr:uid="{00000000-0002-0000-0700-000000000000}">
      <formula1>"Yes,Optional,No"</formula1>
    </dataValidation>
    <dataValidation type="list" allowBlank="1" sqref="D4:D30" xr:uid="{00000000-0002-0000-0700-000001000000}">
      <formula1>"Not Started,Draft,In Review,Approved"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8"/>
  <sheetViews>
    <sheetView workbookViewId="0">
      <pane ySplit="3" topLeftCell="A4" activePane="bottomLeft" state="frozen"/>
      <selection pane="bottomLeft" activeCell="F6" sqref="F6"/>
    </sheetView>
  </sheetViews>
  <sheetFormatPr defaultRowHeight="14.4" x14ac:dyDescent="0.3"/>
  <cols>
    <col min="1" max="1" width="8" customWidth="1"/>
    <col min="2" max="2" width="24" customWidth="1"/>
    <col min="3" max="3" width="12" customWidth="1"/>
    <col min="4" max="4" width="16" customWidth="1"/>
    <col min="5" max="5" width="12" customWidth="1"/>
    <col min="6" max="6" width="14" customWidth="1"/>
    <col min="7" max="7" width="10" customWidth="1"/>
    <col min="8" max="8" width="11" customWidth="1"/>
    <col min="9" max="9" width="22" customWidth="1"/>
    <col min="10" max="10" width="10" customWidth="1"/>
    <col min="11" max="11" width="14" customWidth="1"/>
    <col min="12" max="12" width="20" customWidth="1"/>
  </cols>
  <sheetData>
    <row r="1" spans="1:12" ht="18" x14ac:dyDescent="0.35">
      <c r="A1" s="11" t="s">
        <v>338</v>
      </c>
    </row>
    <row r="3" spans="1:12" ht="28.8" x14ac:dyDescent="0.3">
      <c r="A3" s="15" t="s">
        <v>339</v>
      </c>
      <c r="B3" s="15" t="s">
        <v>287</v>
      </c>
      <c r="C3" s="15" t="s">
        <v>340</v>
      </c>
      <c r="D3" s="15" t="s">
        <v>341</v>
      </c>
      <c r="E3" s="15" t="s">
        <v>342</v>
      </c>
      <c r="F3" s="15" t="s">
        <v>61</v>
      </c>
      <c r="G3" s="15" t="s">
        <v>94</v>
      </c>
      <c r="H3" s="15" t="s">
        <v>181</v>
      </c>
      <c r="I3" s="15" t="s">
        <v>343</v>
      </c>
      <c r="J3" s="15" t="s">
        <v>344</v>
      </c>
      <c r="K3" s="15" t="s">
        <v>345</v>
      </c>
      <c r="L3" s="15" t="s">
        <v>189</v>
      </c>
    </row>
    <row r="4" spans="1:12" x14ac:dyDescent="0.3">
      <c r="A4" t="s">
        <v>346</v>
      </c>
      <c r="B4" t="s">
        <v>347</v>
      </c>
      <c r="C4" t="s">
        <v>348</v>
      </c>
      <c r="D4" t="s">
        <v>349</v>
      </c>
      <c r="E4" t="s">
        <v>38</v>
      </c>
      <c r="F4" t="s">
        <v>321</v>
      </c>
      <c r="G4" t="s">
        <v>123</v>
      </c>
      <c r="J4" t="s">
        <v>226</v>
      </c>
      <c r="K4" t="s">
        <v>321</v>
      </c>
    </row>
    <row r="5" spans="1:12" x14ac:dyDescent="0.3">
      <c r="A5" t="s">
        <v>350</v>
      </c>
      <c r="B5" t="s">
        <v>351</v>
      </c>
      <c r="C5" t="s">
        <v>352</v>
      </c>
      <c r="D5" t="s">
        <v>353</v>
      </c>
      <c r="E5" t="s">
        <v>39</v>
      </c>
      <c r="F5" t="s">
        <v>354</v>
      </c>
      <c r="G5" t="s">
        <v>105</v>
      </c>
      <c r="J5" t="s">
        <v>226</v>
      </c>
      <c r="K5" t="s">
        <v>355</v>
      </c>
    </row>
    <row r="6" spans="1:12" x14ac:dyDescent="0.3">
      <c r="A6" t="s">
        <v>356</v>
      </c>
      <c r="B6" t="s">
        <v>357</v>
      </c>
      <c r="C6" t="s">
        <v>352</v>
      </c>
      <c r="D6" t="s">
        <v>358</v>
      </c>
      <c r="E6" t="s">
        <v>39</v>
      </c>
      <c r="F6" t="s">
        <v>359</v>
      </c>
      <c r="G6" t="s">
        <v>123</v>
      </c>
      <c r="J6" t="s">
        <v>360</v>
      </c>
      <c r="K6" t="s">
        <v>355</v>
      </c>
    </row>
    <row r="7" spans="1:12" x14ac:dyDescent="0.3">
      <c r="A7" t="s">
        <v>361</v>
      </c>
      <c r="B7" t="s">
        <v>362</v>
      </c>
      <c r="C7" t="s">
        <v>363</v>
      </c>
      <c r="D7" t="s">
        <v>364</v>
      </c>
      <c r="E7" t="s">
        <v>38</v>
      </c>
      <c r="F7" t="s">
        <v>73</v>
      </c>
      <c r="G7" t="s">
        <v>112</v>
      </c>
      <c r="J7" t="s">
        <v>194</v>
      </c>
      <c r="K7" t="s">
        <v>355</v>
      </c>
    </row>
    <row r="8" spans="1:12" x14ac:dyDescent="0.3">
      <c r="A8" t="s">
        <v>365</v>
      </c>
      <c r="B8" t="s">
        <v>366</v>
      </c>
      <c r="C8" t="s">
        <v>363</v>
      </c>
      <c r="D8" t="s">
        <v>367</v>
      </c>
      <c r="E8" t="s">
        <v>38</v>
      </c>
      <c r="F8" t="s">
        <v>359</v>
      </c>
      <c r="G8" t="s">
        <v>105</v>
      </c>
      <c r="J8" t="s">
        <v>194</v>
      </c>
      <c r="K8" t="s">
        <v>355</v>
      </c>
    </row>
  </sheetData>
  <autoFilter ref="A3:L8" xr:uid="{00000000-0009-0000-0000-000008000000}"/>
  <dataValidations count="3">
    <dataValidation type="list" allowBlank="1" sqref="C4:C50" xr:uid="{00000000-0002-0000-0800-000000000000}">
      <formula1>"Character,Environment,UI,VFX,Audio,Font,Icon,Prop"</formula1>
    </dataValidation>
    <dataValidation type="list" allowBlank="1" sqref="F4:F50" xr:uid="{00000000-0002-0000-0800-000001000000}">
      <formula1>"Not Started,WIP,Ready for Review,Approved,Cut"</formula1>
    </dataValidation>
    <dataValidation type="list" allowBlank="1" sqref="J4:J50" xr:uid="{00000000-0002-0000-0800-000002000000}">
      <formula1>"Yes,No"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>
      <pane ySplit="3" topLeftCell="A4" activePane="bottomLeft" state="frozen"/>
      <selection pane="bottomLeft" activeCell="J4" sqref="J4"/>
    </sheetView>
  </sheetViews>
  <sheetFormatPr defaultRowHeight="14.4" x14ac:dyDescent="0.3"/>
  <cols>
    <col min="1" max="1" width="8" customWidth="1"/>
    <col min="2" max="2" width="22" customWidth="1"/>
    <col min="3" max="3" width="12" customWidth="1"/>
    <col min="4" max="4" width="16" customWidth="1"/>
    <col min="5" max="5" width="24" customWidth="1"/>
    <col min="6" max="6" width="12" customWidth="1"/>
    <col min="7" max="7" width="32" customWidth="1"/>
    <col min="8" max="8" width="12" customWidth="1"/>
    <col min="9" max="9" width="28" customWidth="1"/>
    <col min="10" max="12" width="12" customWidth="1"/>
  </cols>
  <sheetData>
    <row r="1" spans="1:12" ht="18" x14ac:dyDescent="0.35">
      <c r="A1" s="11" t="s">
        <v>368</v>
      </c>
    </row>
    <row r="3" spans="1:12" ht="28.8" x14ac:dyDescent="0.3">
      <c r="A3" s="15" t="s">
        <v>369</v>
      </c>
      <c r="B3" s="15" t="s">
        <v>370</v>
      </c>
      <c r="C3" s="15" t="s">
        <v>371</v>
      </c>
      <c r="D3" s="15" t="s">
        <v>372</v>
      </c>
      <c r="E3" s="15" t="s">
        <v>373</v>
      </c>
      <c r="F3" s="15" t="s">
        <v>374</v>
      </c>
      <c r="G3" s="15" t="s">
        <v>375</v>
      </c>
      <c r="H3" s="15" t="s">
        <v>376</v>
      </c>
      <c r="I3" s="15" t="s">
        <v>377</v>
      </c>
      <c r="J3" s="15" t="s">
        <v>60</v>
      </c>
      <c r="K3" s="15" t="s">
        <v>61</v>
      </c>
      <c r="L3" s="15" t="s">
        <v>378</v>
      </c>
    </row>
    <row r="4" spans="1:12" x14ac:dyDescent="0.3">
      <c r="A4">
        <v>1</v>
      </c>
      <c r="B4" s="17">
        <v>46122</v>
      </c>
      <c r="D4" t="s">
        <v>379</v>
      </c>
      <c r="E4" t="s">
        <v>380</v>
      </c>
      <c r="F4" t="s">
        <v>381</v>
      </c>
      <c r="G4" t="s">
        <v>382</v>
      </c>
      <c r="H4" t="s">
        <v>383</v>
      </c>
      <c r="I4" t="s">
        <v>384</v>
      </c>
      <c r="J4" t="s">
        <v>39</v>
      </c>
      <c r="K4" t="s">
        <v>385</v>
      </c>
      <c r="L4" t="s">
        <v>386</v>
      </c>
    </row>
    <row r="5" spans="1:12" x14ac:dyDescent="0.3">
      <c r="A5">
        <v>2</v>
      </c>
      <c r="B5" s="17">
        <v>46160</v>
      </c>
      <c r="D5" t="s">
        <v>387</v>
      </c>
      <c r="E5" t="s">
        <v>388</v>
      </c>
      <c r="F5" t="s">
        <v>389</v>
      </c>
      <c r="G5" t="s">
        <v>390</v>
      </c>
      <c r="H5" t="s">
        <v>391</v>
      </c>
      <c r="I5" t="s">
        <v>392</v>
      </c>
      <c r="J5" t="s">
        <v>37</v>
      </c>
      <c r="K5" t="s">
        <v>68</v>
      </c>
    </row>
    <row r="6" spans="1:12" x14ac:dyDescent="0.3">
      <c r="A6">
        <v>3</v>
      </c>
      <c r="B6" s="17">
        <v>46170</v>
      </c>
      <c r="D6" t="s">
        <v>393</v>
      </c>
      <c r="E6" t="s">
        <v>394</v>
      </c>
      <c r="F6" t="s">
        <v>395</v>
      </c>
      <c r="G6" t="s">
        <v>396</v>
      </c>
      <c r="H6" t="s">
        <v>397</v>
      </c>
      <c r="I6" t="s">
        <v>398</v>
      </c>
      <c r="J6" t="s">
        <v>35</v>
      </c>
      <c r="K6" t="s">
        <v>399</v>
      </c>
    </row>
    <row r="7" spans="1:12" x14ac:dyDescent="0.3">
      <c r="A7">
        <v>4</v>
      </c>
    </row>
    <row r="8" spans="1:12" x14ac:dyDescent="0.3">
      <c r="A8">
        <v>5</v>
      </c>
    </row>
    <row r="9" spans="1:12" x14ac:dyDescent="0.3">
      <c r="A9">
        <v>6</v>
      </c>
    </row>
  </sheetData>
  <dataValidations count="3">
    <dataValidation type="list" allowBlank="1" sqref="G4:G50" xr:uid="{00000000-0002-0000-0900-000000000000}">
      <formula1>"Observation,Bug,Balance,UX,Performance,Fun / Engagement"</formula1>
    </dataValidation>
    <dataValidation type="list" allowBlank="1" sqref="H4:H50" xr:uid="{00000000-0002-0000-0900-000001000000}">
      <formula1>"P0 Blocker,P1 Major,P2 Minor,P3 Polish"</formula1>
    </dataValidation>
    <dataValidation type="list" allowBlank="1" sqref="K4:K50" xr:uid="{00000000-0002-0000-0900-000002000000}">
      <formula1>"Open,In Progress,Fixed,Won't Fix,Deferred"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6" customWidth="1"/>
    <col min="2" max="2" width="8" customWidth="1"/>
    <col min="3" max="3" width="36" customWidth="1"/>
    <col min="4" max="4" width="10" customWidth="1"/>
    <col min="5" max="5" width="12" customWidth="1"/>
    <col min="6" max="6" width="8" customWidth="1"/>
    <col min="7" max="7" width="32" customWidth="1"/>
    <col min="8" max="9" width="12" customWidth="1"/>
    <col min="10" max="10" width="20.33203125" customWidth="1"/>
    <col min="11" max="11" width="17.88671875" customWidth="1"/>
  </cols>
  <sheetData>
    <row r="1" spans="1:11" ht="18" x14ac:dyDescent="0.35">
      <c r="A1" s="11" t="s">
        <v>400</v>
      </c>
    </row>
    <row r="3" spans="1:11" ht="28.8" x14ac:dyDescent="0.3">
      <c r="A3" s="15" t="s">
        <v>176</v>
      </c>
      <c r="B3" s="15" t="s">
        <v>239</v>
      </c>
      <c r="C3" s="15" t="s">
        <v>401</v>
      </c>
      <c r="D3" s="15" t="s">
        <v>402</v>
      </c>
      <c r="E3" s="15" t="s">
        <v>403</v>
      </c>
      <c r="F3" s="15" t="s">
        <v>404</v>
      </c>
      <c r="G3" s="15" t="s">
        <v>405</v>
      </c>
      <c r="H3" s="15" t="s">
        <v>60</v>
      </c>
      <c r="I3" s="15" t="s">
        <v>61</v>
      </c>
      <c r="J3" s="15" t="s">
        <v>406</v>
      </c>
      <c r="K3" s="15" t="s">
        <v>407</v>
      </c>
    </row>
    <row r="4" spans="1:11" x14ac:dyDescent="0.3">
      <c r="A4" t="s">
        <v>408</v>
      </c>
      <c r="B4" t="s">
        <v>409</v>
      </c>
      <c r="C4" t="s">
        <v>410</v>
      </c>
      <c r="D4" t="s">
        <v>123</v>
      </c>
      <c r="E4" t="s">
        <v>105</v>
      </c>
      <c r="F4">
        <f>IF(D4="High",3,IF(D4="Medium",2,1))*IF(E4="High",3,IF(E4="Medium",2,1))</f>
        <v>6</v>
      </c>
      <c r="G4" t="s">
        <v>411</v>
      </c>
      <c r="H4" t="s">
        <v>35</v>
      </c>
      <c r="I4" t="s">
        <v>412</v>
      </c>
      <c r="J4" s="17">
        <v>46096</v>
      </c>
    </row>
    <row r="5" spans="1:11" x14ac:dyDescent="0.3">
      <c r="A5" t="s">
        <v>413</v>
      </c>
      <c r="B5" t="s">
        <v>409</v>
      </c>
      <c r="C5" t="s">
        <v>414</v>
      </c>
      <c r="D5" t="s">
        <v>105</v>
      </c>
      <c r="E5" t="s">
        <v>123</v>
      </c>
      <c r="F5">
        <f>IF(D5="High",3,IF(D5="Medium",2,1))*IF(E5="High",3,IF(E5="Medium",2,1))</f>
        <v>6</v>
      </c>
      <c r="G5" t="s">
        <v>415</v>
      </c>
      <c r="H5" t="s">
        <v>38</v>
      </c>
      <c r="I5" t="s">
        <v>416</v>
      </c>
      <c r="J5" s="17">
        <v>46101</v>
      </c>
    </row>
    <row r="6" spans="1:11" x14ac:dyDescent="0.3">
      <c r="A6" t="s">
        <v>417</v>
      </c>
      <c r="B6" t="s">
        <v>418</v>
      </c>
      <c r="C6" t="s">
        <v>419</v>
      </c>
      <c r="D6" t="s">
        <v>123</v>
      </c>
      <c r="E6" t="s">
        <v>420</v>
      </c>
      <c r="G6" t="s">
        <v>421</v>
      </c>
      <c r="H6" t="s">
        <v>39</v>
      </c>
      <c r="I6" t="s">
        <v>399</v>
      </c>
      <c r="J6" s="17">
        <v>46113</v>
      </c>
      <c r="K6" s="17">
        <v>46127</v>
      </c>
    </row>
  </sheetData>
  <dataValidations count="3">
    <dataValidation type="list" allowBlank="1" sqref="B4:B30" xr:uid="{00000000-0002-0000-0A00-000000000000}">
      <formula1>"Risk,Issue,Dependency"</formula1>
    </dataValidation>
    <dataValidation type="list" allowBlank="1" sqref="D4:E30" xr:uid="{00000000-0002-0000-0A00-000001000000}">
      <formula1>"High,Medium,Low"</formula1>
    </dataValidation>
    <dataValidation type="list" allowBlank="1" sqref="I4:I30" xr:uid="{00000000-0002-0000-0A00-000002000000}">
      <formula1>"Open,Monitoring,Mitigated,Closed"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workbookViewId="0">
      <pane ySplit="3" topLeftCell="A4" activePane="bottomLeft" state="frozen"/>
      <selection pane="bottomLeft" activeCell="G5" sqref="G5"/>
    </sheetView>
  </sheetViews>
  <sheetFormatPr defaultRowHeight="14.4" x14ac:dyDescent="0.3"/>
  <cols>
    <col min="1" max="1" width="11" customWidth="1"/>
    <col min="2" max="2" width="14" customWidth="1"/>
    <col min="3" max="3" width="30.5546875" customWidth="1"/>
    <col min="4" max="4" width="37.21875" customWidth="1"/>
    <col min="5" max="5" width="48.33203125" customWidth="1"/>
    <col min="6" max="6" width="32" customWidth="1"/>
    <col min="7" max="7" width="12" customWidth="1"/>
  </cols>
  <sheetData>
    <row r="1" spans="1:7" ht="18" x14ac:dyDescent="0.35">
      <c r="A1" s="11" t="s">
        <v>422</v>
      </c>
    </row>
    <row r="3" spans="1:7" x14ac:dyDescent="0.3">
      <c r="A3" s="15" t="s">
        <v>370</v>
      </c>
      <c r="B3" s="15" t="s">
        <v>423</v>
      </c>
      <c r="C3" s="15" t="s">
        <v>424</v>
      </c>
      <c r="D3" s="15" t="s">
        <v>425</v>
      </c>
      <c r="E3" s="15" t="s">
        <v>426</v>
      </c>
      <c r="F3" s="15" t="s">
        <v>427</v>
      </c>
      <c r="G3" s="15" t="s">
        <v>428</v>
      </c>
    </row>
    <row r="4" spans="1:7" x14ac:dyDescent="0.3">
      <c r="A4" s="2">
        <v>46224</v>
      </c>
      <c r="B4" t="s">
        <v>430</v>
      </c>
      <c r="C4" t="s">
        <v>431</v>
      </c>
      <c r="D4" t="s">
        <v>432</v>
      </c>
      <c r="E4" t="s">
        <v>433</v>
      </c>
      <c r="F4" s="2"/>
      <c r="G4" s="2">
        <v>46233</v>
      </c>
    </row>
    <row r="5" spans="1:7" x14ac:dyDescent="0.3">
      <c r="A5" s="2">
        <v>46245</v>
      </c>
      <c r="B5" t="s">
        <v>430</v>
      </c>
      <c r="C5" t="s">
        <v>441</v>
      </c>
      <c r="D5" t="s">
        <v>439</v>
      </c>
      <c r="E5" t="s">
        <v>440</v>
      </c>
      <c r="G5" s="2">
        <v>46260</v>
      </c>
    </row>
  </sheetData>
  <dataValidations count="1">
    <dataValidation type="list" allowBlank="1" sqref="B4:B50" xr:uid="{00000000-0002-0000-0B00-000000000000}">
      <formula1>"Standup,Sprint Planning,Design Review,Playtest Retro,Stakeholder,Other"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How to Use</vt:lpstr>
      <vt:lpstr>Project Setup</vt:lpstr>
      <vt:lpstr>Dashboard</vt:lpstr>
      <vt:lpstr>Master Schedule</vt:lpstr>
      <vt:lpstr>Task Tracker</vt:lpstr>
      <vt:lpstr>Deliverables</vt:lpstr>
      <vt:lpstr>Team &amp; RACI</vt:lpstr>
      <vt:lpstr>Design Doc Tracker</vt:lpstr>
      <vt:lpstr>Asset Pipeline</vt:lpstr>
      <vt:lpstr>Playtest Log</vt:lpstr>
      <vt:lpstr>Risks &amp; Issues</vt:lpstr>
      <vt:lpstr>Meeting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Sechaba Mokoena</dc:creator>
  <cp:lastModifiedBy>Sechaba Mokoena</cp:lastModifiedBy>
  <cp:lastPrinted>2026-07-29T08:38:48Z</cp:lastPrinted>
  <dcterms:created xsi:type="dcterms:W3CDTF">2025-09-17T14:03:55Z</dcterms:created>
  <dcterms:modified xsi:type="dcterms:W3CDTF">2026-08-19T16:25:44Z</dcterms:modified>
</cp:coreProperties>
</file>